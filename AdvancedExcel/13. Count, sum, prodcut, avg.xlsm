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mitm\Downloads\"/>
    </mc:Choice>
  </mc:AlternateContent>
  <xr:revisionPtr revIDLastSave="0" documentId="13_ncr:1_{4A9E9F5D-D4CE-455C-B7D2-4C6D89EE2C3F}" xr6:coauthVersionLast="47" xr6:coauthVersionMax="47" xr10:uidLastSave="{00000000-0000-0000-0000-000000000000}"/>
  <bookViews>
    <workbookView xWindow="-108" yWindow="-108" windowWidth="23256" windowHeight="12456" activeTab="1" xr2:uid="{EED9C775-0C71-4504-9ED7-2ABD41ACB026}"/>
  </bookViews>
  <sheets>
    <sheet name="Sheet1" sheetId="1" r:id="rId1"/>
    <sheet name="Sheet8" sheetId="9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" i="9" l="1"/>
  <c r="D17" i="9"/>
  <c r="C17" i="9"/>
  <c r="B17" i="9"/>
  <c r="N31" i="9"/>
  <c r="N21" i="9" a="1"/>
  <c r="N21" i="9" s="1"/>
  <c r="C115" i="9" a="1"/>
  <c r="C115" i="9" s="1"/>
  <c r="C96" i="9" a="1"/>
  <c r="C96" i="9" s="1"/>
  <c r="C91" i="9" a="1"/>
  <c r="C91" i="9" s="1"/>
  <c r="C77" i="9" a="1"/>
  <c r="C77" i="9" s="1"/>
  <c r="A77" i="9" a="1"/>
  <c r="A77" i="9" s="1"/>
  <c r="A74" i="9"/>
  <c r="A73" i="9"/>
  <c r="B65" i="9" a="1"/>
  <c r="B65" i="9" s="1"/>
  <c r="B20" i="9" a="1"/>
  <c r="B20" i="9" s="1"/>
  <c r="A1" i="1" a="1"/>
  <c r="A1" i="1" s="1"/>
  <c r="O24" i="1"/>
  <c r="O23" i="1"/>
  <c r="O22" i="1"/>
  <c r="O21" i="1"/>
  <c r="O18" i="1"/>
  <c r="L32" i="1"/>
  <c r="L21" i="1"/>
  <c r="L22" i="1"/>
  <c r="L23" i="1"/>
  <c r="L24" i="1"/>
  <c r="L25" i="1"/>
  <c r="L26" i="1"/>
  <c r="L27" i="1"/>
  <c r="L28" i="1"/>
  <c r="L29" i="1"/>
  <c r="L30" i="1"/>
  <c r="L17" i="1"/>
  <c r="L18" i="1"/>
  <c r="L19" i="1"/>
  <c r="L20" i="1"/>
  <c r="L16" i="1"/>
  <c r="L10" i="1"/>
  <c r="L11" i="1"/>
  <c r="L12" i="1"/>
  <c r="L13" i="1"/>
  <c r="L14" i="1"/>
  <c r="L9" i="1"/>
  <c r="L3" i="1"/>
  <c r="L4" i="1"/>
  <c r="L5" i="1"/>
  <c r="L6" i="1"/>
  <c r="L7" i="1"/>
  <c r="L2" i="1"/>
  <c r="O17" i="1"/>
  <c r="O16" i="1"/>
  <c r="O15" i="1"/>
  <c r="O11" i="1"/>
  <c r="P10" i="1"/>
  <c r="O10" i="1"/>
  <c r="O9" i="1"/>
  <c r="O8" i="1"/>
  <c r="O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<sst xmlns="http://schemas.openxmlformats.org/spreadsheetml/2006/main" count="359" uniqueCount="66">
  <si>
    <t>segment</t>
  </si>
  <si>
    <t>country</t>
  </si>
  <si>
    <t>category</t>
  </si>
  <si>
    <t>sub_category</t>
  </si>
  <si>
    <t>sales</t>
  </si>
  <si>
    <t>quantity</t>
  </si>
  <si>
    <t>discount</t>
  </si>
  <si>
    <t>profit</t>
  </si>
  <si>
    <t>shipping_cost</t>
  </si>
  <si>
    <t>order_priority</t>
  </si>
  <si>
    <t>Standard Class</t>
  </si>
  <si>
    <t>Consumer</t>
  </si>
  <si>
    <t>Algeria</t>
  </si>
  <si>
    <t>Office Supplies</t>
  </si>
  <si>
    <t>Storage</t>
  </si>
  <si>
    <t>Medium</t>
  </si>
  <si>
    <t>Australia</t>
  </si>
  <si>
    <t>Supplies</t>
  </si>
  <si>
    <t>Second Class</t>
  </si>
  <si>
    <t>Hungary</t>
  </si>
  <si>
    <t>High</t>
  </si>
  <si>
    <t>Home Office</t>
  </si>
  <si>
    <t>Sweden</t>
  </si>
  <si>
    <t>Paper</t>
  </si>
  <si>
    <t>Furniture</t>
  </si>
  <si>
    <t>Furnishings</t>
  </si>
  <si>
    <t>Same Day</t>
  </si>
  <si>
    <t>Corporate</t>
  </si>
  <si>
    <t>Appliances</t>
  </si>
  <si>
    <t>Critical</t>
  </si>
  <si>
    <t>New Zealand</t>
  </si>
  <si>
    <t>Technology</t>
  </si>
  <si>
    <t>Copiers</t>
  </si>
  <si>
    <t>Low</t>
  </si>
  <si>
    <t>Iraq</t>
  </si>
  <si>
    <t>Chairs</t>
  </si>
  <si>
    <t>Philippines</t>
  </si>
  <si>
    <t>Tables</t>
  </si>
  <si>
    <t>United Kingdom</t>
  </si>
  <si>
    <t>Bookcases</t>
  </si>
  <si>
    <t>Guatemala</t>
  </si>
  <si>
    <t>Phones</t>
  </si>
  <si>
    <t>Iran</t>
  </si>
  <si>
    <t>Accessories</t>
  </si>
  <si>
    <t>Labels</t>
  </si>
  <si>
    <t>Art</t>
  </si>
  <si>
    <t>Tanzania</t>
  </si>
  <si>
    <t>Fasteners</t>
  </si>
  <si>
    <t>Brazil</t>
  </si>
  <si>
    <t>Mexico</t>
  </si>
  <si>
    <t>CountA</t>
  </si>
  <si>
    <t>Countblank</t>
  </si>
  <si>
    <t>countif</t>
  </si>
  <si>
    <t>countifs</t>
  </si>
  <si>
    <t>sum</t>
  </si>
  <si>
    <t>Sumif</t>
  </si>
  <si>
    <t>sumifs</t>
  </si>
  <si>
    <t>Sumproduct</t>
  </si>
  <si>
    <t>Avg</t>
  </si>
  <si>
    <t>AvgA</t>
  </si>
  <si>
    <t>abc</t>
  </si>
  <si>
    <t>Avgif</t>
  </si>
  <si>
    <t>Avgifs</t>
  </si>
  <si>
    <t>total sales</t>
  </si>
  <si>
    <t>Count</t>
  </si>
  <si>
    <t>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</si>
</sst>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CFD17-D8AC-4ED4-BB0F-92D1756CEA18}">
  <sheetPr codeName="Sheet1"/>
  <dimension ref="A1:P32"/>
  <sheetViews>
    <sheetView topLeftCell="A9" workbookViewId="0">
      <selection sqref="A1:L30"/>
    </sheetView>
  </sheetViews>
  <sheetFormatPr defaultRowHeight="15.6" x14ac:dyDescent="0.3"/>
  <cols>
    <col min="1" max="1" width="13.19921875" bestFit="1" customWidth="1"/>
    <col min="2" max="2" width="11.09765625" bestFit="1" customWidth="1"/>
    <col min="3" max="3" width="13.5" bestFit="1" customWidth="1"/>
    <col min="4" max="4" width="13.09765625" bestFit="1" customWidth="1"/>
    <col min="5" max="5" width="12.3984375" customWidth="1"/>
    <col min="6" max="6" width="6.5" customWidth="1"/>
    <col min="7" max="7" width="8.796875" customWidth="1"/>
    <col min="8" max="8" width="9.09765625" customWidth="1"/>
    <col min="9" max="9" width="9.5" bestFit="1" customWidth="1"/>
    <col min="10" max="10" width="12.8984375" customWidth="1"/>
    <col min="11" max="13" width="12.796875" customWidth="1"/>
    <col min="14" max="14" width="11.296875" bestFit="1" customWidth="1"/>
  </cols>
  <sheetData>
    <row r="1" spans="1:16" s="1" customFormat="1" x14ac:dyDescent="0.3">
      <c r="A1" s="1" t="e" cm="1">
        <f t="array" ref="A1">A1:K30ship_mode</f>
        <v>#NAME?</v>
      </c>
      <c r="B1" s="1" t="s">
        <v>0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63</v>
      </c>
    </row>
    <row r="2" spans="1:16" x14ac:dyDescent="0.3">
      <c r="A2" t="s">
        <v>10</v>
      </c>
      <c r="B2" t="s">
        <v>11</v>
      </c>
      <c r="C2" t="s">
        <v>12</v>
      </c>
      <c r="D2" t="s">
        <v>13</v>
      </c>
      <c r="E2" t="s">
        <v>14</v>
      </c>
      <c r="F2">
        <v>408</v>
      </c>
      <c r="G2">
        <v>2</v>
      </c>
      <c r="H2">
        <v>0</v>
      </c>
      <c r="I2">
        <v>106.14</v>
      </c>
      <c r="J2">
        <v>35.46</v>
      </c>
      <c r="K2" t="s">
        <v>15</v>
      </c>
      <c r="L2">
        <f>F2*G2</f>
        <v>816</v>
      </c>
    </row>
    <row r="3" spans="1:16" x14ac:dyDescent="0.3">
      <c r="A3" t="s">
        <v>10</v>
      </c>
      <c r="B3" t="s">
        <v>11</v>
      </c>
      <c r="C3" t="s">
        <v>16</v>
      </c>
      <c r="D3" t="s">
        <v>13</v>
      </c>
      <c r="E3" t="s">
        <v>17</v>
      </c>
      <c r="F3">
        <v>120</v>
      </c>
      <c r="G3">
        <v>3</v>
      </c>
      <c r="H3">
        <v>0.1</v>
      </c>
      <c r="I3">
        <v>36.036000000000001</v>
      </c>
      <c r="J3">
        <v>9.7200000000000006</v>
      </c>
      <c r="K3" t="s">
        <v>15</v>
      </c>
      <c r="L3">
        <f t="shared" ref="L3:L7" si="0">F3*G3</f>
        <v>360</v>
      </c>
    </row>
    <row r="4" spans="1:16" x14ac:dyDescent="0.3">
      <c r="A4" t="s">
        <v>18</v>
      </c>
      <c r="B4" t="s">
        <v>11</v>
      </c>
      <c r="C4" t="s">
        <v>19</v>
      </c>
      <c r="D4" t="s">
        <v>13</v>
      </c>
      <c r="E4" t="s">
        <v>14</v>
      </c>
      <c r="F4">
        <v>66</v>
      </c>
      <c r="G4">
        <v>4</v>
      </c>
      <c r="H4">
        <v>0</v>
      </c>
      <c r="I4">
        <v>29.64</v>
      </c>
      <c r="J4">
        <v>8.17</v>
      </c>
      <c r="K4" t="s">
        <v>20</v>
      </c>
      <c r="L4">
        <f t="shared" si="0"/>
        <v>264</v>
      </c>
    </row>
    <row r="5" spans="1:16" x14ac:dyDescent="0.3">
      <c r="A5" t="s">
        <v>18</v>
      </c>
      <c r="B5" t="s">
        <v>21</v>
      </c>
      <c r="C5" t="s">
        <v>22</v>
      </c>
      <c r="D5" t="s">
        <v>13</v>
      </c>
      <c r="E5" t="s">
        <v>23</v>
      </c>
      <c r="F5">
        <v>45</v>
      </c>
      <c r="G5">
        <v>3</v>
      </c>
      <c r="H5">
        <v>0.5</v>
      </c>
      <c r="I5">
        <v>-26.055</v>
      </c>
      <c r="J5">
        <v>4.82</v>
      </c>
      <c r="K5" t="s">
        <v>20</v>
      </c>
      <c r="L5">
        <f t="shared" si="0"/>
        <v>135</v>
      </c>
    </row>
    <row r="6" spans="1:16" x14ac:dyDescent="0.3">
      <c r="A6" t="s">
        <v>10</v>
      </c>
      <c r="B6" t="s">
        <v>11</v>
      </c>
      <c r="C6" t="s">
        <v>16</v>
      </c>
      <c r="D6" t="s">
        <v>24</v>
      </c>
      <c r="E6" t="s">
        <v>25</v>
      </c>
      <c r="F6">
        <v>114</v>
      </c>
      <c r="G6">
        <v>5</v>
      </c>
      <c r="H6">
        <v>0.1</v>
      </c>
      <c r="I6">
        <v>37.770000000000003</v>
      </c>
      <c r="J6">
        <v>4.7</v>
      </c>
      <c r="K6" t="s">
        <v>15</v>
      </c>
      <c r="L6">
        <f t="shared" si="0"/>
        <v>570</v>
      </c>
    </row>
    <row r="7" spans="1:16" x14ac:dyDescent="0.3">
      <c r="A7" t="s">
        <v>10</v>
      </c>
      <c r="B7" t="s">
        <v>11</v>
      </c>
      <c r="C7" t="s">
        <v>16</v>
      </c>
      <c r="D7" t="s">
        <v>13</v>
      </c>
      <c r="E7" t="s">
        <v>23</v>
      </c>
      <c r="F7">
        <v>55</v>
      </c>
      <c r="G7">
        <v>2</v>
      </c>
      <c r="H7">
        <v>0.1</v>
      </c>
      <c r="I7">
        <v>15.342000000000001</v>
      </c>
      <c r="J7">
        <v>1.8</v>
      </c>
      <c r="K7" t="s">
        <v>15</v>
      </c>
      <c r="L7">
        <f t="shared" si="0"/>
        <v>110</v>
      </c>
      <c r="N7" s="1" t="s">
        <v>64</v>
      </c>
      <c r="O7">
        <f>COUNT(Sheet1!$G$2:$G$30)</f>
        <v>25</v>
      </c>
    </row>
    <row r="8" spans="1:16" x14ac:dyDescent="0.3">
      <c r="N8" s="1" t="s">
        <v>50</v>
      </c>
      <c r="O8">
        <f>COUNTA(Sheet1!$G$2:$G$30)</f>
        <v>26</v>
      </c>
    </row>
    <row r="9" spans="1:16" x14ac:dyDescent="0.3">
      <c r="A9" t="s">
        <v>26</v>
      </c>
      <c r="B9" t="s">
        <v>27</v>
      </c>
      <c r="C9" t="s">
        <v>16</v>
      </c>
      <c r="D9" t="s">
        <v>13</v>
      </c>
      <c r="E9" t="s">
        <v>28</v>
      </c>
      <c r="F9">
        <v>276</v>
      </c>
      <c r="G9">
        <v>1</v>
      </c>
      <c r="H9">
        <v>0.1</v>
      </c>
      <c r="I9">
        <v>110.41200000000001</v>
      </c>
      <c r="J9">
        <v>125.32</v>
      </c>
      <c r="K9" t="s">
        <v>29</v>
      </c>
      <c r="L9">
        <f>F9*G9</f>
        <v>276</v>
      </c>
      <c r="N9" s="1" t="s">
        <v>51</v>
      </c>
      <c r="O9">
        <f>COUNTBLANK(Sheet1!$H$2:$H$30)</f>
        <v>4</v>
      </c>
    </row>
    <row r="10" spans="1:16" x14ac:dyDescent="0.3">
      <c r="A10" t="s">
        <v>10</v>
      </c>
      <c r="B10" t="s">
        <v>11</v>
      </c>
      <c r="C10" t="s">
        <v>30</v>
      </c>
      <c r="D10" t="s">
        <v>31</v>
      </c>
      <c r="E10" t="s">
        <v>32</v>
      </c>
      <c r="F10">
        <v>912</v>
      </c>
      <c r="G10">
        <v>4</v>
      </c>
      <c r="H10">
        <v>0.4</v>
      </c>
      <c r="I10">
        <v>-319.464</v>
      </c>
      <c r="J10">
        <v>107.1</v>
      </c>
      <c r="K10" t="s">
        <v>33</v>
      </c>
      <c r="L10">
        <f t="shared" ref="L10:L14" si="1">F10*G10</f>
        <v>3648</v>
      </c>
      <c r="N10" s="1" t="s">
        <v>52</v>
      </c>
      <c r="O10">
        <f>COUNTIF(Sheet1!$F$2:$F$30,"&gt;500")</f>
        <v>4</v>
      </c>
      <c r="P10">
        <f>COUNTIF(Sheet1!$K$2:$K$30,"High")</f>
        <v>7</v>
      </c>
    </row>
    <row r="11" spans="1:16" x14ac:dyDescent="0.3">
      <c r="A11" t="s">
        <v>10</v>
      </c>
      <c r="B11" t="s">
        <v>27</v>
      </c>
      <c r="C11" t="s">
        <v>34</v>
      </c>
      <c r="D11" t="s">
        <v>24</v>
      </c>
      <c r="E11" t="s">
        <v>35</v>
      </c>
      <c r="F11">
        <v>667</v>
      </c>
      <c r="G11">
        <v>4</v>
      </c>
      <c r="H11">
        <v>0</v>
      </c>
      <c r="I11">
        <v>253.32</v>
      </c>
      <c r="J11">
        <v>81.260000000000005</v>
      </c>
      <c r="K11" t="s">
        <v>20</v>
      </c>
      <c r="L11">
        <f t="shared" si="1"/>
        <v>2668</v>
      </c>
      <c r="N11" s="1" t="s">
        <v>53</v>
      </c>
      <c r="O11">
        <f>COUNTIFS(Sheet1!$F$2:$F$30,"&gt;50",Sheet1!$K$2:$K$30,"Low")</f>
        <v>4</v>
      </c>
    </row>
    <row r="12" spans="1:16" x14ac:dyDescent="0.3">
      <c r="A12" t="s">
        <v>18</v>
      </c>
      <c r="B12" t="s">
        <v>11</v>
      </c>
      <c r="C12" t="s">
        <v>36</v>
      </c>
      <c r="D12" t="s">
        <v>13</v>
      </c>
      <c r="E12" t="s">
        <v>14</v>
      </c>
      <c r="F12">
        <v>338</v>
      </c>
      <c r="G12">
        <v>3</v>
      </c>
      <c r="H12">
        <v>0.45</v>
      </c>
      <c r="I12">
        <v>-122.8005</v>
      </c>
      <c r="J12">
        <v>33.75</v>
      </c>
      <c r="K12" t="s">
        <v>20</v>
      </c>
      <c r="L12">
        <f t="shared" si="1"/>
        <v>1014</v>
      </c>
    </row>
    <row r="13" spans="1:16" x14ac:dyDescent="0.3">
      <c r="A13" t="s">
        <v>18</v>
      </c>
      <c r="B13" t="s">
        <v>11</v>
      </c>
      <c r="C13" t="s">
        <v>36</v>
      </c>
      <c r="D13" t="s">
        <v>24</v>
      </c>
      <c r="E13" t="s">
        <v>37</v>
      </c>
      <c r="F13">
        <v>211</v>
      </c>
      <c r="G13">
        <v>1</v>
      </c>
      <c r="H13">
        <v>0.55000000000000004</v>
      </c>
      <c r="I13">
        <v>-70.399500000000003</v>
      </c>
      <c r="J13">
        <v>21.32</v>
      </c>
      <c r="K13" t="s">
        <v>20</v>
      </c>
      <c r="L13">
        <f t="shared" si="1"/>
        <v>211</v>
      </c>
    </row>
    <row r="14" spans="1:16" x14ac:dyDescent="0.3">
      <c r="A14" t="s">
        <v>10</v>
      </c>
      <c r="B14" t="s">
        <v>11</v>
      </c>
      <c r="C14" t="s">
        <v>38</v>
      </c>
      <c r="D14" t="s">
        <v>24</v>
      </c>
      <c r="E14" t="s">
        <v>39</v>
      </c>
      <c r="F14">
        <v>854</v>
      </c>
      <c r="G14">
        <v>7</v>
      </c>
      <c r="H14">
        <v>0</v>
      </c>
      <c r="I14">
        <v>290.43</v>
      </c>
      <c r="J14">
        <v>12.56</v>
      </c>
      <c r="K14" t="s">
        <v>15</v>
      </c>
      <c r="L14">
        <f t="shared" si="1"/>
        <v>5978</v>
      </c>
    </row>
    <row r="15" spans="1:16" x14ac:dyDescent="0.3">
      <c r="G15" t="s">
        <v>60</v>
      </c>
      <c r="N15" s="1" t="s">
        <v>54</v>
      </c>
      <c r="O15">
        <f>SUM(F2:F30)</f>
        <v>6806</v>
      </c>
    </row>
    <row r="16" spans="1:16" x14ac:dyDescent="0.3">
      <c r="A16" t="s">
        <v>10</v>
      </c>
      <c r="B16" t="s">
        <v>11</v>
      </c>
      <c r="C16" t="s">
        <v>30</v>
      </c>
      <c r="D16" t="s">
        <v>24</v>
      </c>
      <c r="E16" t="s">
        <v>35</v>
      </c>
      <c r="F16">
        <v>159</v>
      </c>
      <c r="G16">
        <v>2</v>
      </c>
      <c r="H16">
        <v>0.4</v>
      </c>
      <c r="I16">
        <v>-95.676000000000002</v>
      </c>
      <c r="J16">
        <v>10.07</v>
      </c>
      <c r="K16" t="s">
        <v>33</v>
      </c>
      <c r="L16">
        <f>F16*G16</f>
        <v>318</v>
      </c>
      <c r="N16" s="1" t="s">
        <v>55</v>
      </c>
      <c r="O16">
        <f>SUMIF(F2:F30,"&gt;500")</f>
        <v>4081</v>
      </c>
    </row>
    <row r="17" spans="1:15" x14ac:dyDescent="0.3">
      <c r="A17" t="s">
        <v>10</v>
      </c>
      <c r="B17" t="s">
        <v>11</v>
      </c>
      <c r="C17" t="s">
        <v>40</v>
      </c>
      <c r="D17" t="s">
        <v>31</v>
      </c>
      <c r="E17" t="s">
        <v>41</v>
      </c>
      <c r="F17">
        <v>195</v>
      </c>
      <c r="G17">
        <v>4</v>
      </c>
      <c r="H17">
        <v>0</v>
      </c>
      <c r="I17">
        <v>44.88</v>
      </c>
      <c r="J17">
        <v>8.43</v>
      </c>
      <c r="K17" t="s">
        <v>15</v>
      </c>
      <c r="L17">
        <f t="shared" ref="L17:L30" si="2">F17*G17</f>
        <v>780</v>
      </c>
      <c r="N17" s="1" t="s">
        <v>56</v>
      </c>
      <c r="O17">
        <f>SUMIFS(F2:F30,B2:B30,"consumer",K2:K30,"medium")</f>
        <v>3677</v>
      </c>
    </row>
    <row r="18" spans="1:15" x14ac:dyDescent="0.3">
      <c r="A18" t="s">
        <v>10</v>
      </c>
      <c r="B18" t="s">
        <v>11</v>
      </c>
      <c r="C18" t="s">
        <v>42</v>
      </c>
      <c r="D18" t="s">
        <v>13</v>
      </c>
      <c r="E18" t="s">
        <v>28</v>
      </c>
      <c r="F18">
        <v>123</v>
      </c>
      <c r="G18">
        <v>2</v>
      </c>
      <c r="H18">
        <v>0</v>
      </c>
      <c r="I18">
        <v>42.9</v>
      </c>
      <c r="J18">
        <v>8.41</v>
      </c>
      <c r="K18" t="s">
        <v>15</v>
      </c>
      <c r="L18">
        <f t="shared" si="2"/>
        <v>246</v>
      </c>
      <c r="N18" s="1" t="s">
        <v>57</v>
      </c>
      <c r="O18">
        <f>SUMPRODUCT(F2:F30,G2:G30)</f>
        <v>29081</v>
      </c>
    </row>
    <row r="19" spans="1:15" x14ac:dyDescent="0.3">
      <c r="A19" t="s">
        <v>10</v>
      </c>
      <c r="B19" t="s">
        <v>11</v>
      </c>
      <c r="C19" t="s">
        <v>30</v>
      </c>
      <c r="D19" t="s">
        <v>31</v>
      </c>
      <c r="E19" t="s">
        <v>43</v>
      </c>
      <c r="F19">
        <v>69</v>
      </c>
      <c r="G19">
        <v>2</v>
      </c>
      <c r="H19">
        <v>0.4</v>
      </c>
      <c r="I19">
        <v>3.42</v>
      </c>
      <c r="J19">
        <v>8.34</v>
      </c>
      <c r="K19" t="s">
        <v>33</v>
      </c>
      <c r="L19">
        <f t="shared" si="2"/>
        <v>138</v>
      </c>
    </row>
    <row r="20" spans="1:15" x14ac:dyDescent="0.3">
      <c r="A20" t="s">
        <v>10</v>
      </c>
      <c r="B20" t="s">
        <v>11</v>
      </c>
      <c r="C20" t="s">
        <v>30</v>
      </c>
      <c r="D20" t="s">
        <v>24</v>
      </c>
      <c r="E20" t="s">
        <v>35</v>
      </c>
      <c r="F20">
        <v>69</v>
      </c>
      <c r="G20">
        <v>2</v>
      </c>
      <c r="H20">
        <v>0.4</v>
      </c>
      <c r="I20">
        <v>-26.411999999999999</v>
      </c>
      <c r="J20">
        <v>8.17</v>
      </c>
      <c r="K20" t="s">
        <v>33</v>
      </c>
      <c r="L20">
        <f t="shared" si="2"/>
        <v>138</v>
      </c>
    </row>
    <row r="21" spans="1:15" x14ac:dyDescent="0.3">
      <c r="L21">
        <f t="shared" si="2"/>
        <v>0</v>
      </c>
      <c r="N21" s="1" t="s">
        <v>58</v>
      </c>
      <c r="O21">
        <f>AVERAGE(G2:G30)</f>
        <v>2.92</v>
      </c>
    </row>
    <row r="22" spans="1:15" x14ac:dyDescent="0.3">
      <c r="A22" t="s">
        <v>26</v>
      </c>
      <c r="B22" t="s">
        <v>27</v>
      </c>
      <c r="C22" t="s">
        <v>16</v>
      </c>
      <c r="D22" t="s">
        <v>13</v>
      </c>
      <c r="E22" t="s">
        <v>44</v>
      </c>
      <c r="F22">
        <v>36</v>
      </c>
      <c r="G22">
        <v>3</v>
      </c>
      <c r="H22">
        <v>0.1</v>
      </c>
      <c r="I22">
        <v>4.7430000000000003</v>
      </c>
      <c r="J22">
        <v>7.46</v>
      </c>
      <c r="K22" t="s">
        <v>29</v>
      </c>
      <c r="L22">
        <f t="shared" si="2"/>
        <v>108</v>
      </c>
      <c r="N22" s="1" t="s">
        <v>59</v>
      </c>
      <c r="O22">
        <f>AVERAGEA(G2:G30)</f>
        <v>2.8076923076923075</v>
      </c>
    </row>
    <row r="23" spans="1:15" x14ac:dyDescent="0.3">
      <c r="A23" t="s">
        <v>18</v>
      </c>
      <c r="B23" t="s">
        <v>27</v>
      </c>
      <c r="C23" t="s">
        <v>42</v>
      </c>
      <c r="D23" t="s">
        <v>13</v>
      </c>
      <c r="E23" t="s">
        <v>45</v>
      </c>
      <c r="F23">
        <v>52</v>
      </c>
      <c r="G23">
        <v>1</v>
      </c>
      <c r="H23">
        <v>0</v>
      </c>
      <c r="I23">
        <v>7.77</v>
      </c>
      <c r="J23">
        <v>5.91</v>
      </c>
      <c r="K23" t="s">
        <v>20</v>
      </c>
      <c r="L23">
        <f t="shared" si="2"/>
        <v>52</v>
      </c>
      <c r="N23" s="1" t="s">
        <v>61</v>
      </c>
      <c r="O23">
        <f>AVERAGEIF(F2:F30,"&gt;300")</f>
        <v>804.5</v>
      </c>
    </row>
    <row r="24" spans="1:15" x14ac:dyDescent="0.3">
      <c r="A24" t="s">
        <v>10</v>
      </c>
      <c r="B24" t="s">
        <v>11</v>
      </c>
      <c r="C24" t="s">
        <v>42</v>
      </c>
      <c r="D24" t="s">
        <v>13</v>
      </c>
      <c r="E24" t="s">
        <v>14</v>
      </c>
      <c r="F24">
        <v>62</v>
      </c>
      <c r="G24">
        <v>2</v>
      </c>
      <c r="H24">
        <v>0</v>
      </c>
      <c r="I24">
        <v>8.6999999999999993</v>
      </c>
      <c r="J24">
        <v>5.16</v>
      </c>
      <c r="K24" t="s">
        <v>15</v>
      </c>
      <c r="L24">
        <f t="shared" si="2"/>
        <v>124</v>
      </c>
      <c r="N24" s="1" t="s">
        <v>62</v>
      </c>
      <c r="O24">
        <f>AVERAGEIFS(F2:F30,K2:K30,"high")</f>
        <v>228.85714285714286</v>
      </c>
    </row>
    <row r="25" spans="1:15" x14ac:dyDescent="0.3">
      <c r="A25" t="s">
        <v>10</v>
      </c>
      <c r="B25" t="s">
        <v>11</v>
      </c>
      <c r="C25" t="s">
        <v>46</v>
      </c>
      <c r="D25" t="s">
        <v>13</v>
      </c>
      <c r="E25" t="s">
        <v>17</v>
      </c>
      <c r="F25">
        <v>81</v>
      </c>
      <c r="G25">
        <v>4</v>
      </c>
      <c r="H25">
        <v>0</v>
      </c>
      <c r="I25">
        <v>26.76</v>
      </c>
      <c r="J25">
        <v>5.1100000000000003</v>
      </c>
      <c r="K25" t="s">
        <v>15</v>
      </c>
      <c r="L25">
        <f t="shared" si="2"/>
        <v>324</v>
      </c>
    </row>
    <row r="26" spans="1:15" x14ac:dyDescent="0.3">
      <c r="L26">
        <f t="shared" si="2"/>
        <v>0</v>
      </c>
    </row>
    <row r="27" spans="1:15" x14ac:dyDescent="0.3">
      <c r="A27" t="s">
        <v>18</v>
      </c>
      <c r="B27" t="s">
        <v>11</v>
      </c>
      <c r="C27" t="s">
        <v>36</v>
      </c>
      <c r="D27" t="s">
        <v>13</v>
      </c>
      <c r="E27" t="s">
        <v>47</v>
      </c>
      <c r="F27">
        <v>6</v>
      </c>
      <c r="G27">
        <v>1</v>
      </c>
      <c r="H27">
        <v>0.45</v>
      </c>
      <c r="I27">
        <v>0.54600000000000004</v>
      </c>
      <c r="J27">
        <v>0.8</v>
      </c>
      <c r="K27" t="s">
        <v>65</v>
      </c>
      <c r="L27">
        <f t="shared" si="2"/>
        <v>6</v>
      </c>
    </row>
    <row r="28" spans="1:15" x14ac:dyDescent="0.3">
      <c r="A28" t="s">
        <v>10</v>
      </c>
      <c r="B28" t="s">
        <v>11</v>
      </c>
      <c r="C28" t="s">
        <v>42</v>
      </c>
      <c r="D28" t="s">
        <v>13</v>
      </c>
      <c r="E28" t="s">
        <v>47</v>
      </c>
      <c r="F28">
        <v>17</v>
      </c>
      <c r="G28">
        <v>1</v>
      </c>
      <c r="H28">
        <v>0</v>
      </c>
      <c r="I28">
        <v>4.17</v>
      </c>
      <c r="J28">
        <v>0.54</v>
      </c>
      <c r="K28" t="s">
        <v>15</v>
      </c>
      <c r="L28">
        <f t="shared" si="2"/>
        <v>17</v>
      </c>
    </row>
    <row r="29" spans="1:15" x14ac:dyDescent="0.3">
      <c r="A29" t="s">
        <v>18</v>
      </c>
      <c r="B29" t="s">
        <v>11</v>
      </c>
      <c r="C29" t="s">
        <v>48</v>
      </c>
      <c r="D29" t="s">
        <v>24</v>
      </c>
      <c r="E29" t="s">
        <v>39</v>
      </c>
      <c r="F29">
        <v>1648</v>
      </c>
      <c r="G29">
        <v>6</v>
      </c>
      <c r="H29">
        <v>0</v>
      </c>
      <c r="I29">
        <v>609.84</v>
      </c>
      <c r="J29">
        <v>109.13</v>
      </c>
      <c r="K29" t="s">
        <v>15</v>
      </c>
      <c r="L29">
        <f t="shared" si="2"/>
        <v>9888</v>
      </c>
    </row>
    <row r="30" spans="1:15" x14ac:dyDescent="0.3">
      <c r="A30" t="s">
        <v>10</v>
      </c>
      <c r="B30" t="s">
        <v>27</v>
      </c>
      <c r="C30" t="s">
        <v>49</v>
      </c>
      <c r="D30" t="s">
        <v>31</v>
      </c>
      <c r="E30" t="s">
        <v>43</v>
      </c>
      <c r="F30">
        <v>223</v>
      </c>
      <c r="G30">
        <v>4</v>
      </c>
      <c r="H30">
        <v>0</v>
      </c>
      <c r="I30">
        <v>13.28</v>
      </c>
      <c r="J30">
        <v>42.28</v>
      </c>
      <c r="K30" t="s">
        <v>20</v>
      </c>
      <c r="L30">
        <f t="shared" si="2"/>
        <v>892</v>
      </c>
    </row>
    <row r="32" spans="1:15" x14ac:dyDescent="0.3">
      <c r="L32">
        <f>SUM(L2:L30)</f>
        <v>29081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579903-B02E-4A0C-AFEA-611CB70C8C34}">
  <dimension ref="A1:EL216"/>
  <sheetViews>
    <sheetView tabSelected="1" workbookViewId="0">
      <selection activeCell="P20" sqref="P20"/>
    </sheetView>
  </sheetViews>
  <sheetFormatPr defaultRowHeight="15.6" x14ac:dyDescent="0.3"/>
  <cols>
    <col min="2" max="2" width="13.5" bestFit="1" customWidth="1"/>
    <col min="3" max="4" width="13.09765625" bestFit="1" customWidth="1"/>
  </cols>
  <sheetData>
    <row r="1" spans="1:23" x14ac:dyDescent="0.3">
      <c r="A1" s="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63</v>
      </c>
    </row>
    <row r="2" spans="1:23" x14ac:dyDescent="0.3">
      <c r="A2" t="s">
        <v>12</v>
      </c>
      <c r="B2" t="s">
        <v>13</v>
      </c>
      <c r="C2" t="s">
        <v>14</v>
      </c>
      <c r="D2">
        <v>408</v>
      </c>
      <c r="E2">
        <v>2</v>
      </c>
      <c r="F2">
        <v>0</v>
      </c>
      <c r="G2">
        <v>106.14</v>
      </c>
      <c r="H2">
        <v>35.46</v>
      </c>
      <c r="I2" t="s">
        <v>15</v>
      </c>
      <c r="J2">
        <v>816</v>
      </c>
      <c r="K2">
        <f>SUMSQ(E2:E14)</f>
        <v>216</v>
      </c>
    </row>
    <row r="3" spans="1:23" x14ac:dyDescent="0.3">
      <c r="A3" t="s">
        <v>16</v>
      </c>
      <c r="B3" t="s">
        <v>13</v>
      </c>
      <c r="C3" t="s">
        <v>17</v>
      </c>
      <c r="D3">
        <v>120</v>
      </c>
      <c r="E3">
        <v>3</v>
      </c>
      <c r="F3">
        <v>0.1</v>
      </c>
      <c r="G3">
        <v>36.036000000000001</v>
      </c>
      <c r="H3">
        <v>9.7200000000000006</v>
      </c>
      <c r="I3" t="s">
        <v>15</v>
      </c>
      <c r="J3">
        <v>360</v>
      </c>
      <c r="N3" s="1" t="s">
        <v>1</v>
      </c>
      <c r="O3" s="1" t="s">
        <v>2</v>
      </c>
      <c r="P3" s="1" t="s">
        <v>3</v>
      </c>
      <c r="Q3" s="1" t="s">
        <v>4</v>
      </c>
      <c r="R3" s="1" t="s">
        <v>5</v>
      </c>
      <c r="S3" s="1" t="s">
        <v>6</v>
      </c>
      <c r="T3" s="1" t="s">
        <v>7</v>
      </c>
      <c r="U3" s="1" t="s">
        <v>8</v>
      </c>
      <c r="V3" s="1" t="s">
        <v>9</v>
      </c>
      <c r="W3" s="1" t="s">
        <v>63</v>
      </c>
    </row>
    <row r="4" spans="1:23" x14ac:dyDescent="0.3">
      <c r="A4" t="s">
        <v>19</v>
      </c>
      <c r="B4" t="s">
        <v>13</v>
      </c>
      <c r="C4" t="s">
        <v>14</v>
      </c>
      <c r="D4">
        <v>66</v>
      </c>
      <c r="E4">
        <v>4</v>
      </c>
      <c r="F4">
        <v>0</v>
      </c>
      <c r="G4">
        <v>29.64</v>
      </c>
      <c r="H4">
        <v>8.17</v>
      </c>
      <c r="I4" t="s">
        <v>20</v>
      </c>
      <c r="J4">
        <v>264</v>
      </c>
      <c r="N4" t="s">
        <v>12</v>
      </c>
      <c r="O4" t="s">
        <v>13</v>
      </c>
      <c r="P4" t="s">
        <v>14</v>
      </c>
      <c r="Q4">
        <v>408</v>
      </c>
      <c r="R4">
        <v>2</v>
      </c>
      <c r="S4">
        <v>0</v>
      </c>
      <c r="T4">
        <v>106.14</v>
      </c>
      <c r="U4">
        <v>35.46</v>
      </c>
      <c r="V4" t="s">
        <v>15</v>
      </c>
      <c r="W4">
        <v>816</v>
      </c>
    </row>
    <row r="5" spans="1:23" x14ac:dyDescent="0.3">
      <c r="A5" t="s">
        <v>22</v>
      </c>
      <c r="B5" t="s">
        <v>13</v>
      </c>
      <c r="C5" t="s">
        <v>23</v>
      </c>
      <c r="D5">
        <v>45</v>
      </c>
      <c r="E5">
        <v>3</v>
      </c>
      <c r="F5">
        <v>0.5</v>
      </c>
      <c r="G5">
        <v>-26.055</v>
      </c>
      <c r="H5">
        <v>4.82</v>
      </c>
      <c r="I5" t="s">
        <v>20</v>
      </c>
      <c r="J5">
        <v>135</v>
      </c>
      <c r="N5" t="s">
        <v>16</v>
      </c>
      <c r="O5" t="s">
        <v>13</v>
      </c>
      <c r="P5" t="s">
        <v>17</v>
      </c>
      <c r="Q5">
        <v>120</v>
      </c>
      <c r="R5">
        <v>3</v>
      </c>
      <c r="S5">
        <v>0.1</v>
      </c>
      <c r="T5">
        <v>36.036000000000001</v>
      </c>
      <c r="U5">
        <v>9.7200000000000006</v>
      </c>
      <c r="V5" t="s">
        <v>15</v>
      </c>
      <c r="W5">
        <v>360</v>
      </c>
    </row>
    <row r="6" spans="1:23" x14ac:dyDescent="0.3">
      <c r="A6" t="s">
        <v>30</v>
      </c>
      <c r="B6" t="s">
        <v>31</v>
      </c>
      <c r="C6" t="s">
        <v>32</v>
      </c>
      <c r="D6">
        <v>912</v>
      </c>
      <c r="E6">
        <v>4</v>
      </c>
      <c r="F6">
        <v>0.4</v>
      </c>
      <c r="G6">
        <v>-319.464</v>
      </c>
      <c r="H6">
        <v>107.1</v>
      </c>
      <c r="I6" t="s">
        <v>33</v>
      </c>
      <c r="J6">
        <v>3648</v>
      </c>
      <c r="N6" t="s">
        <v>19</v>
      </c>
      <c r="O6" t="s">
        <v>13</v>
      </c>
      <c r="P6" t="s">
        <v>14</v>
      </c>
      <c r="Q6">
        <v>66</v>
      </c>
      <c r="R6">
        <v>4</v>
      </c>
      <c r="S6">
        <v>0</v>
      </c>
      <c r="T6">
        <v>29.64</v>
      </c>
      <c r="U6">
        <v>8.17</v>
      </c>
      <c r="V6" t="s">
        <v>20</v>
      </c>
      <c r="W6">
        <v>264</v>
      </c>
    </row>
    <row r="7" spans="1:23" x14ac:dyDescent="0.3">
      <c r="A7" t="s">
        <v>34</v>
      </c>
      <c r="B7" t="s">
        <v>24</v>
      </c>
      <c r="C7" t="s">
        <v>35</v>
      </c>
      <c r="D7">
        <v>667</v>
      </c>
      <c r="E7">
        <v>4</v>
      </c>
      <c r="F7">
        <v>0</v>
      </c>
      <c r="G7">
        <v>253.32</v>
      </c>
      <c r="H7">
        <v>81.260000000000005</v>
      </c>
      <c r="I7" t="s">
        <v>20</v>
      </c>
      <c r="J7">
        <v>2668</v>
      </c>
      <c r="N7" t="s">
        <v>22</v>
      </c>
      <c r="O7" t="s">
        <v>13</v>
      </c>
      <c r="P7" t="s">
        <v>23</v>
      </c>
      <c r="Q7">
        <v>45</v>
      </c>
      <c r="R7">
        <v>3</v>
      </c>
      <c r="S7">
        <v>0.5</v>
      </c>
      <c r="T7">
        <v>-26.055</v>
      </c>
      <c r="U7">
        <v>4.82</v>
      </c>
      <c r="V7" t="s">
        <v>20</v>
      </c>
      <c r="W7">
        <v>135</v>
      </c>
    </row>
    <row r="8" spans="1:23" x14ac:dyDescent="0.3">
      <c r="A8" t="s">
        <v>36</v>
      </c>
      <c r="B8" t="s">
        <v>13</v>
      </c>
      <c r="C8" t="s">
        <v>14</v>
      </c>
      <c r="D8">
        <v>338</v>
      </c>
      <c r="E8">
        <v>3</v>
      </c>
      <c r="F8">
        <v>0.45</v>
      </c>
      <c r="G8">
        <v>-122.8005</v>
      </c>
      <c r="H8">
        <v>33.75</v>
      </c>
      <c r="I8" t="s">
        <v>20</v>
      </c>
      <c r="J8">
        <v>1014</v>
      </c>
      <c r="N8" t="s">
        <v>30</v>
      </c>
      <c r="O8" t="s">
        <v>31</v>
      </c>
      <c r="P8" t="s">
        <v>32</v>
      </c>
      <c r="Q8">
        <v>912</v>
      </c>
      <c r="R8">
        <v>4</v>
      </c>
      <c r="S8">
        <v>0.4</v>
      </c>
      <c r="T8">
        <v>-319.464</v>
      </c>
      <c r="U8">
        <v>107.1</v>
      </c>
      <c r="V8" t="s">
        <v>33</v>
      </c>
      <c r="W8">
        <v>3648</v>
      </c>
    </row>
    <row r="9" spans="1:23" x14ac:dyDescent="0.3">
      <c r="A9" t="s">
        <v>38</v>
      </c>
      <c r="B9" t="s">
        <v>24</v>
      </c>
      <c r="C9" t="s">
        <v>39</v>
      </c>
      <c r="D9">
        <v>854</v>
      </c>
      <c r="E9">
        <v>7</v>
      </c>
      <c r="F9">
        <v>0</v>
      </c>
      <c r="G9">
        <v>290.43</v>
      </c>
      <c r="H9">
        <v>12.56</v>
      </c>
      <c r="I9" t="s">
        <v>15</v>
      </c>
      <c r="J9">
        <v>5978</v>
      </c>
      <c r="N9" t="s">
        <v>34</v>
      </c>
      <c r="O9" t="s">
        <v>24</v>
      </c>
      <c r="P9" t="s">
        <v>35</v>
      </c>
      <c r="Q9">
        <v>667</v>
      </c>
      <c r="R9">
        <v>4</v>
      </c>
      <c r="S9">
        <v>0</v>
      </c>
      <c r="T9">
        <v>253.32</v>
      </c>
      <c r="U9">
        <v>81.260000000000005</v>
      </c>
      <c r="V9" t="s">
        <v>20</v>
      </c>
      <c r="W9">
        <v>2668</v>
      </c>
    </row>
    <row r="10" spans="1:23" x14ac:dyDescent="0.3">
      <c r="A10" t="s">
        <v>40</v>
      </c>
      <c r="B10" t="s">
        <v>31</v>
      </c>
      <c r="C10" t="s">
        <v>41</v>
      </c>
      <c r="D10">
        <v>195</v>
      </c>
      <c r="E10">
        <v>4</v>
      </c>
      <c r="F10">
        <v>0</v>
      </c>
      <c r="G10">
        <v>44.88</v>
      </c>
      <c r="H10">
        <v>8.43</v>
      </c>
      <c r="I10" t="s">
        <v>15</v>
      </c>
      <c r="J10">
        <v>780</v>
      </c>
      <c r="N10" t="s">
        <v>36</v>
      </c>
      <c r="O10" t="s">
        <v>13</v>
      </c>
      <c r="P10" t="s">
        <v>14</v>
      </c>
      <c r="Q10">
        <v>338</v>
      </c>
      <c r="R10">
        <v>3</v>
      </c>
      <c r="S10">
        <v>0.45</v>
      </c>
      <c r="T10">
        <v>-122.8005</v>
      </c>
      <c r="U10">
        <v>33.75</v>
      </c>
      <c r="V10" t="s">
        <v>20</v>
      </c>
      <c r="W10">
        <v>1014</v>
      </c>
    </row>
    <row r="11" spans="1:23" x14ac:dyDescent="0.3">
      <c r="A11" t="s">
        <v>42</v>
      </c>
      <c r="B11" t="s">
        <v>13</v>
      </c>
      <c r="C11" t="s">
        <v>14</v>
      </c>
      <c r="D11">
        <v>62</v>
      </c>
      <c r="E11">
        <v>2</v>
      </c>
      <c r="F11">
        <v>0</v>
      </c>
      <c r="G11">
        <v>8.6999999999999993</v>
      </c>
      <c r="H11">
        <v>5.16</v>
      </c>
      <c r="I11" t="s">
        <v>15</v>
      </c>
      <c r="J11">
        <v>124</v>
      </c>
      <c r="N11" t="s">
        <v>38</v>
      </c>
      <c r="O11" t="s">
        <v>24</v>
      </c>
      <c r="P11" t="s">
        <v>39</v>
      </c>
      <c r="Q11">
        <v>854</v>
      </c>
      <c r="R11">
        <v>7</v>
      </c>
      <c r="S11">
        <v>0</v>
      </c>
      <c r="T11">
        <v>290.43</v>
      </c>
      <c r="U11">
        <v>12.56</v>
      </c>
      <c r="V11" t="s">
        <v>15</v>
      </c>
      <c r="W11">
        <v>5978</v>
      </c>
    </row>
    <row r="12" spans="1:23" x14ac:dyDescent="0.3">
      <c r="A12" t="s">
        <v>46</v>
      </c>
      <c r="B12" t="s">
        <v>13</v>
      </c>
      <c r="C12" t="s">
        <v>17</v>
      </c>
      <c r="D12">
        <v>81</v>
      </c>
      <c r="E12">
        <v>4</v>
      </c>
      <c r="F12">
        <v>0</v>
      </c>
      <c r="G12">
        <v>26.76</v>
      </c>
      <c r="H12">
        <v>5.1100000000000003</v>
      </c>
      <c r="I12" t="s">
        <v>15</v>
      </c>
      <c r="J12">
        <v>324</v>
      </c>
      <c r="N12" t="s">
        <v>40</v>
      </c>
      <c r="O12" t="s">
        <v>31</v>
      </c>
      <c r="P12" t="s">
        <v>41</v>
      </c>
      <c r="Q12">
        <v>195</v>
      </c>
      <c r="R12">
        <v>4</v>
      </c>
      <c r="S12">
        <v>0</v>
      </c>
      <c r="T12">
        <v>44.88</v>
      </c>
      <c r="U12">
        <v>8.43</v>
      </c>
      <c r="V12" t="s">
        <v>15</v>
      </c>
      <c r="W12">
        <v>780</v>
      </c>
    </row>
    <row r="13" spans="1:23" x14ac:dyDescent="0.3">
      <c r="A13" t="s">
        <v>48</v>
      </c>
      <c r="B13" t="s">
        <v>24</v>
      </c>
      <c r="C13" t="s">
        <v>39</v>
      </c>
      <c r="D13">
        <v>1648</v>
      </c>
      <c r="E13">
        <v>6</v>
      </c>
      <c r="F13">
        <v>0</v>
      </c>
      <c r="G13">
        <v>609.84</v>
      </c>
      <c r="H13">
        <v>109.13</v>
      </c>
      <c r="I13" t="s">
        <v>15</v>
      </c>
      <c r="J13">
        <v>9888</v>
      </c>
      <c r="N13" t="s">
        <v>42</v>
      </c>
      <c r="O13" t="s">
        <v>13</v>
      </c>
      <c r="P13" t="s">
        <v>14</v>
      </c>
      <c r="Q13">
        <v>62</v>
      </c>
      <c r="R13">
        <v>2</v>
      </c>
      <c r="S13">
        <v>0</v>
      </c>
      <c r="T13">
        <v>8.6999999999999993</v>
      </c>
      <c r="U13">
        <v>5.16</v>
      </c>
      <c r="V13" t="s">
        <v>15</v>
      </c>
      <c r="W13">
        <v>124</v>
      </c>
    </row>
    <row r="14" spans="1:23" x14ac:dyDescent="0.3">
      <c r="A14" t="s">
        <v>49</v>
      </c>
      <c r="B14" t="s">
        <v>31</v>
      </c>
      <c r="C14" t="s">
        <v>43</v>
      </c>
      <c r="D14">
        <v>223</v>
      </c>
      <c r="E14">
        <v>4</v>
      </c>
      <c r="F14">
        <v>0</v>
      </c>
      <c r="G14">
        <v>13.28</v>
      </c>
      <c r="H14">
        <v>42.28</v>
      </c>
      <c r="I14" t="s">
        <v>20</v>
      </c>
      <c r="J14">
        <v>892</v>
      </c>
      <c r="N14" t="s">
        <v>46</v>
      </c>
      <c r="O14" t="s">
        <v>13</v>
      </c>
      <c r="P14" t="s">
        <v>17</v>
      </c>
      <c r="Q14">
        <v>81</v>
      </c>
      <c r="R14">
        <v>4</v>
      </c>
      <c r="S14">
        <v>0</v>
      </c>
      <c r="T14">
        <v>26.76</v>
      </c>
      <c r="U14">
        <v>5.1100000000000003</v>
      </c>
      <c r="V14" t="s">
        <v>15</v>
      </c>
      <c r="W14">
        <v>324</v>
      </c>
    </row>
    <row r="15" spans="1:23" x14ac:dyDescent="0.3">
      <c r="N15" t="s">
        <v>48</v>
      </c>
      <c r="O15" t="s">
        <v>24</v>
      </c>
      <c r="P15" t="s">
        <v>39</v>
      </c>
      <c r="Q15">
        <v>1648</v>
      </c>
      <c r="R15">
        <v>6</v>
      </c>
      <c r="S15">
        <v>0</v>
      </c>
      <c r="T15">
        <v>609.84</v>
      </c>
      <c r="U15">
        <v>109.13</v>
      </c>
      <c r="V15" t="s">
        <v>15</v>
      </c>
      <c r="W15">
        <v>9888</v>
      </c>
    </row>
    <row r="16" spans="1:23" x14ac:dyDescent="0.3">
      <c r="N16" t="s">
        <v>49</v>
      </c>
      <c r="O16" t="s">
        <v>31</v>
      </c>
      <c r="P16" t="s">
        <v>43</v>
      </c>
      <c r="Q16">
        <v>223</v>
      </c>
      <c r="R16">
        <v>4</v>
      </c>
      <c r="S16">
        <v>0</v>
      </c>
      <c r="T16">
        <v>13.28</v>
      </c>
      <c r="U16">
        <v>42.28</v>
      </c>
      <c r="V16" t="s">
        <v>20</v>
      </c>
      <c r="W16">
        <v>892</v>
      </c>
    </row>
    <row r="17" spans="2:14" x14ac:dyDescent="0.3">
      <c r="B17">
        <f>COLUMNS(A1:J14)</f>
        <v>10</v>
      </c>
      <c r="C17">
        <f>COLUMN(G16)</f>
        <v>7</v>
      </c>
      <c r="D17">
        <f>ROW(A18)</f>
        <v>18</v>
      </c>
    </row>
    <row r="20" spans="2:14" x14ac:dyDescent="0.3">
      <c r="B20" t="str" cm="1">
        <f t="array" ref="B20:K46">_xlfn.VSTACK(A1:J14,N4:W16)</f>
        <v>country</v>
      </c>
      <c r="C20" t="str">
        <v>category</v>
      </c>
      <c r="D20" t="str">
        <v>sub_category</v>
      </c>
      <c r="E20" t="str">
        <v>sales</v>
      </c>
      <c r="F20" t="str">
        <v>quantity</v>
      </c>
      <c r="G20" t="str">
        <v>discount</v>
      </c>
      <c r="H20" t="str">
        <v>profit</v>
      </c>
      <c r="I20" t="str">
        <v>shipping_cost</v>
      </c>
      <c r="J20" t="str">
        <v>order_priority</v>
      </c>
      <c r="K20" t="str">
        <v>total sales</v>
      </c>
    </row>
    <row r="21" spans="2:14" x14ac:dyDescent="0.3">
      <c r="B21" t="str">
        <v>Algeria</v>
      </c>
      <c r="C21" t="str">
        <v>Office Supplies</v>
      </c>
      <c r="D21" t="str">
        <v>Storage</v>
      </c>
      <c r="E21">
        <v>408</v>
      </c>
      <c r="F21">
        <v>2</v>
      </c>
      <c r="G21">
        <v>0</v>
      </c>
      <c r="H21">
        <v>106.14</v>
      </c>
      <c r="I21">
        <v>35.46</v>
      </c>
      <c r="J21" t="str">
        <v>Medium</v>
      </c>
      <c r="K21">
        <v>816</v>
      </c>
      <c r="N21" t="str" cm="1">
        <f t="array" ref="N21:N28">_xlfn.UNIQUE(D21:D46)</f>
        <v>Storage</v>
      </c>
    </row>
    <row r="22" spans="2:14" x14ac:dyDescent="0.3">
      <c r="B22" t="str">
        <v>Australia</v>
      </c>
      <c r="C22" t="str">
        <v>Office Supplies</v>
      </c>
      <c r="D22" t="str">
        <v>Supplies</v>
      </c>
      <c r="E22">
        <v>120</v>
      </c>
      <c r="F22">
        <v>3</v>
      </c>
      <c r="G22">
        <v>0.1</v>
      </c>
      <c r="H22">
        <v>36.036000000000001</v>
      </c>
      <c r="I22">
        <v>9.7200000000000006</v>
      </c>
      <c r="J22" t="str">
        <v>Medium</v>
      </c>
      <c r="K22">
        <v>360</v>
      </c>
      <c r="N22" t="str">
        <v>Supplies</v>
      </c>
    </row>
    <row r="23" spans="2:14" x14ac:dyDescent="0.3">
      <c r="B23" t="str">
        <v>Hungary</v>
      </c>
      <c r="C23" t="str">
        <v>Office Supplies</v>
      </c>
      <c r="D23" t="str">
        <v>Storage</v>
      </c>
      <c r="E23">
        <v>66</v>
      </c>
      <c r="F23">
        <v>4</v>
      </c>
      <c r="G23">
        <v>0</v>
      </c>
      <c r="H23">
        <v>29.64</v>
      </c>
      <c r="I23">
        <v>8.17</v>
      </c>
      <c r="J23" t="str">
        <v>High</v>
      </c>
      <c r="K23">
        <v>264</v>
      </c>
      <c r="N23" t="str">
        <v>Paper</v>
      </c>
    </row>
    <row r="24" spans="2:14" x14ac:dyDescent="0.3">
      <c r="B24" t="str">
        <v>Sweden</v>
      </c>
      <c r="C24" t="str">
        <v>Office Supplies</v>
      </c>
      <c r="D24" t="str">
        <v>Paper</v>
      </c>
      <c r="E24">
        <v>45</v>
      </c>
      <c r="F24">
        <v>3</v>
      </c>
      <c r="G24">
        <v>0.5</v>
      </c>
      <c r="H24">
        <v>-26.055</v>
      </c>
      <c r="I24">
        <v>4.82</v>
      </c>
      <c r="J24" t="str">
        <v>High</v>
      </c>
      <c r="K24">
        <v>135</v>
      </c>
      <c r="N24" t="str">
        <v>Copiers</v>
      </c>
    </row>
    <row r="25" spans="2:14" x14ac:dyDescent="0.3">
      <c r="B25" t="str">
        <v>New Zealand</v>
      </c>
      <c r="C25" t="str">
        <v>Technology</v>
      </c>
      <c r="D25" t="str">
        <v>Copiers</v>
      </c>
      <c r="E25">
        <v>912</v>
      </c>
      <c r="F25">
        <v>4</v>
      </c>
      <c r="G25">
        <v>0.4</v>
      </c>
      <c r="H25">
        <v>-319.464</v>
      </c>
      <c r="I25">
        <v>107.1</v>
      </c>
      <c r="J25" t="str">
        <v>Low</v>
      </c>
      <c r="K25">
        <v>3648</v>
      </c>
      <c r="N25" t="str">
        <v>Chairs</v>
      </c>
    </row>
    <row r="26" spans="2:14" x14ac:dyDescent="0.3">
      <c r="B26" t="str">
        <v>Iraq</v>
      </c>
      <c r="C26" t="str">
        <v>Furniture</v>
      </c>
      <c r="D26" t="str">
        <v>Chairs</v>
      </c>
      <c r="E26">
        <v>667</v>
      </c>
      <c r="F26">
        <v>4</v>
      </c>
      <c r="G26">
        <v>0</v>
      </c>
      <c r="H26">
        <v>253.32</v>
      </c>
      <c r="I26">
        <v>81.260000000000005</v>
      </c>
      <c r="J26" t="str">
        <v>High</v>
      </c>
      <c r="K26">
        <v>2668</v>
      </c>
      <c r="N26" t="str">
        <v>Bookcases</v>
      </c>
    </row>
    <row r="27" spans="2:14" x14ac:dyDescent="0.3">
      <c r="B27" t="str">
        <v>Philippines</v>
      </c>
      <c r="C27" t="str">
        <v>Office Supplies</v>
      </c>
      <c r="D27" t="str">
        <v>Storage</v>
      </c>
      <c r="E27">
        <v>338</v>
      </c>
      <c r="F27">
        <v>3</v>
      </c>
      <c r="G27">
        <v>0.45</v>
      </c>
      <c r="H27">
        <v>-122.8005</v>
      </c>
      <c r="I27">
        <v>33.75</v>
      </c>
      <c r="J27" t="str">
        <v>High</v>
      </c>
      <c r="K27">
        <v>1014</v>
      </c>
      <c r="N27" t="str">
        <v>Phones</v>
      </c>
    </row>
    <row r="28" spans="2:14" x14ac:dyDescent="0.3">
      <c r="B28" t="str">
        <v>United Kingdom</v>
      </c>
      <c r="C28" t="str">
        <v>Furniture</v>
      </c>
      <c r="D28" t="str">
        <v>Bookcases</v>
      </c>
      <c r="E28">
        <v>854</v>
      </c>
      <c r="F28">
        <v>7</v>
      </c>
      <c r="G28">
        <v>0</v>
      </c>
      <c r="H28">
        <v>290.43</v>
      </c>
      <c r="I28">
        <v>12.56</v>
      </c>
      <c r="J28" t="str">
        <v>Medium</v>
      </c>
      <c r="K28">
        <v>5978</v>
      </c>
      <c r="N28" t="str">
        <v>Accessories</v>
      </c>
    </row>
    <row r="29" spans="2:14" x14ac:dyDescent="0.3">
      <c r="B29" t="str">
        <v>Guatemala</v>
      </c>
      <c r="C29" t="str">
        <v>Technology</v>
      </c>
      <c r="D29" t="str">
        <v>Phones</v>
      </c>
      <c r="E29">
        <v>195</v>
      </c>
      <c r="F29">
        <v>4</v>
      </c>
      <c r="G29">
        <v>0</v>
      </c>
      <c r="H29">
        <v>44.88</v>
      </c>
      <c r="I29">
        <v>8.43</v>
      </c>
      <c r="J29" t="str">
        <v>Medium</v>
      </c>
      <c r="K29">
        <v>780</v>
      </c>
    </row>
    <row r="30" spans="2:14" x14ac:dyDescent="0.3">
      <c r="B30" t="str">
        <v>Iran</v>
      </c>
      <c r="C30" t="str">
        <v>Office Supplies</v>
      </c>
      <c r="D30" t="str">
        <v>Storage</v>
      </c>
      <c r="E30">
        <v>62</v>
      </c>
      <c r="F30">
        <v>2</v>
      </c>
      <c r="G30">
        <v>0</v>
      </c>
      <c r="H30">
        <v>8.6999999999999993</v>
      </c>
      <c r="I30">
        <v>5.16</v>
      </c>
      <c r="J30" t="str">
        <v>Medium</v>
      </c>
      <c r="K30">
        <v>124</v>
      </c>
    </row>
    <row r="31" spans="2:14" x14ac:dyDescent="0.3">
      <c r="B31" t="str">
        <v>Tanzania</v>
      </c>
      <c r="C31" t="str">
        <v>Office Supplies</v>
      </c>
      <c r="D31" t="str">
        <v>Supplies</v>
      </c>
      <c r="E31">
        <v>81</v>
      </c>
      <c r="F31">
        <v>4</v>
      </c>
      <c r="G31">
        <v>0</v>
      </c>
      <c r="H31">
        <v>26.76</v>
      </c>
      <c r="I31">
        <v>5.1100000000000003</v>
      </c>
      <c r="J31" t="str">
        <v>Medium</v>
      </c>
      <c r="K31">
        <v>324</v>
      </c>
      <c r="N31">
        <f>COUNTA(_xlfn.UNIQUE(D21:D46))</f>
        <v>8</v>
      </c>
    </row>
    <row r="32" spans="2:14" x14ac:dyDescent="0.3">
      <c r="B32" t="str">
        <v>Brazil</v>
      </c>
      <c r="C32" t="str">
        <v>Furniture</v>
      </c>
      <c r="D32" t="str">
        <v>Bookcases</v>
      </c>
      <c r="E32">
        <v>1648</v>
      </c>
      <c r="F32">
        <v>6</v>
      </c>
      <c r="G32">
        <v>0</v>
      </c>
      <c r="H32">
        <v>609.84</v>
      </c>
      <c r="I32">
        <v>109.13</v>
      </c>
      <c r="J32" t="str">
        <v>Medium</v>
      </c>
      <c r="K32">
        <v>9888</v>
      </c>
    </row>
    <row r="33" spans="2:11" x14ac:dyDescent="0.3">
      <c r="B33" t="str">
        <v>Mexico</v>
      </c>
      <c r="C33" t="str">
        <v>Technology</v>
      </c>
      <c r="D33" t="str">
        <v>Accessories</v>
      </c>
      <c r="E33">
        <v>223</v>
      </c>
      <c r="F33">
        <v>4</v>
      </c>
      <c r="G33">
        <v>0</v>
      </c>
      <c r="H33">
        <v>13.28</v>
      </c>
      <c r="I33">
        <v>42.28</v>
      </c>
      <c r="J33" t="str">
        <v>High</v>
      </c>
      <c r="K33">
        <v>892</v>
      </c>
    </row>
    <row r="34" spans="2:11" x14ac:dyDescent="0.3">
      <c r="B34" t="str">
        <v>Algeria</v>
      </c>
      <c r="C34" t="str">
        <v>Office Supplies</v>
      </c>
      <c r="D34" t="str">
        <v>Storage</v>
      </c>
      <c r="E34">
        <v>408</v>
      </c>
      <c r="F34">
        <v>2</v>
      </c>
      <c r="G34">
        <v>0</v>
      </c>
      <c r="H34">
        <v>106.14</v>
      </c>
      <c r="I34">
        <v>35.46</v>
      </c>
      <c r="J34" t="str">
        <v>Medium</v>
      </c>
      <c r="K34">
        <v>816</v>
      </c>
    </row>
    <row r="35" spans="2:11" x14ac:dyDescent="0.3">
      <c r="B35" t="str">
        <v>Australia</v>
      </c>
      <c r="C35" t="str">
        <v>Office Supplies</v>
      </c>
      <c r="D35" t="str">
        <v>Supplies</v>
      </c>
      <c r="E35">
        <v>120</v>
      </c>
      <c r="F35">
        <v>3</v>
      </c>
      <c r="G35">
        <v>0.1</v>
      </c>
      <c r="H35">
        <v>36.036000000000001</v>
      </c>
      <c r="I35">
        <v>9.7200000000000006</v>
      </c>
      <c r="J35" t="str">
        <v>Medium</v>
      </c>
      <c r="K35">
        <v>360</v>
      </c>
    </row>
    <row r="36" spans="2:11" x14ac:dyDescent="0.3">
      <c r="B36" t="str">
        <v>Hungary</v>
      </c>
      <c r="C36" t="str">
        <v>Office Supplies</v>
      </c>
      <c r="D36" t="str">
        <v>Storage</v>
      </c>
      <c r="E36">
        <v>66</v>
      </c>
      <c r="F36">
        <v>4</v>
      </c>
      <c r="G36">
        <v>0</v>
      </c>
      <c r="H36">
        <v>29.64</v>
      </c>
      <c r="I36">
        <v>8.17</v>
      </c>
      <c r="J36" t="str">
        <v>High</v>
      </c>
      <c r="K36">
        <v>264</v>
      </c>
    </row>
    <row r="37" spans="2:11" x14ac:dyDescent="0.3">
      <c r="B37" t="str">
        <v>Sweden</v>
      </c>
      <c r="C37" t="str">
        <v>Office Supplies</v>
      </c>
      <c r="D37" t="str">
        <v>Paper</v>
      </c>
      <c r="E37">
        <v>45</v>
      </c>
      <c r="F37">
        <v>3</v>
      </c>
      <c r="G37">
        <v>0.5</v>
      </c>
      <c r="H37">
        <v>-26.055</v>
      </c>
      <c r="I37">
        <v>4.82</v>
      </c>
      <c r="J37" t="str">
        <v>High</v>
      </c>
      <c r="K37">
        <v>135</v>
      </c>
    </row>
    <row r="38" spans="2:11" x14ac:dyDescent="0.3">
      <c r="B38" t="str">
        <v>New Zealand</v>
      </c>
      <c r="C38" t="str">
        <v>Technology</v>
      </c>
      <c r="D38" t="str">
        <v>Copiers</v>
      </c>
      <c r="E38">
        <v>912</v>
      </c>
      <c r="F38">
        <v>4</v>
      </c>
      <c r="G38">
        <v>0.4</v>
      </c>
      <c r="H38">
        <v>-319.464</v>
      </c>
      <c r="I38">
        <v>107.1</v>
      </c>
      <c r="J38" t="str">
        <v>Low</v>
      </c>
      <c r="K38">
        <v>3648</v>
      </c>
    </row>
    <row r="39" spans="2:11" x14ac:dyDescent="0.3">
      <c r="B39" t="str">
        <v>Iraq</v>
      </c>
      <c r="C39" t="str">
        <v>Furniture</v>
      </c>
      <c r="D39" t="str">
        <v>Chairs</v>
      </c>
      <c r="E39">
        <v>667</v>
      </c>
      <c r="F39">
        <v>4</v>
      </c>
      <c r="G39">
        <v>0</v>
      </c>
      <c r="H39">
        <v>253.32</v>
      </c>
      <c r="I39">
        <v>81.260000000000005</v>
      </c>
      <c r="J39" t="str">
        <v>High</v>
      </c>
      <c r="K39">
        <v>2668</v>
      </c>
    </row>
    <row r="40" spans="2:11" x14ac:dyDescent="0.3">
      <c r="B40" t="str">
        <v>Philippines</v>
      </c>
      <c r="C40" t="str">
        <v>Office Supplies</v>
      </c>
      <c r="D40" t="str">
        <v>Storage</v>
      </c>
      <c r="E40">
        <v>338</v>
      </c>
      <c r="F40">
        <v>3</v>
      </c>
      <c r="G40">
        <v>0.45</v>
      </c>
      <c r="H40">
        <v>-122.8005</v>
      </c>
      <c r="I40">
        <v>33.75</v>
      </c>
      <c r="J40" t="str">
        <v>High</v>
      </c>
      <c r="K40">
        <v>1014</v>
      </c>
    </row>
    <row r="41" spans="2:11" x14ac:dyDescent="0.3">
      <c r="B41" t="str">
        <v>United Kingdom</v>
      </c>
      <c r="C41" t="str">
        <v>Furniture</v>
      </c>
      <c r="D41" t="str">
        <v>Bookcases</v>
      </c>
      <c r="E41">
        <v>854</v>
      </c>
      <c r="F41">
        <v>7</v>
      </c>
      <c r="G41">
        <v>0</v>
      </c>
      <c r="H41">
        <v>290.43</v>
      </c>
      <c r="I41">
        <v>12.56</v>
      </c>
      <c r="J41" t="str">
        <v>Medium</v>
      </c>
      <c r="K41">
        <v>5978</v>
      </c>
    </row>
    <row r="42" spans="2:11" x14ac:dyDescent="0.3">
      <c r="B42" t="str">
        <v>Guatemala</v>
      </c>
      <c r="C42" t="str">
        <v>Technology</v>
      </c>
      <c r="D42" t="str">
        <v>Phones</v>
      </c>
      <c r="E42">
        <v>195</v>
      </c>
      <c r="F42">
        <v>4</v>
      </c>
      <c r="G42">
        <v>0</v>
      </c>
      <c r="H42">
        <v>44.88</v>
      </c>
      <c r="I42">
        <v>8.43</v>
      </c>
      <c r="J42" t="str">
        <v>Medium</v>
      </c>
      <c r="K42">
        <v>780</v>
      </c>
    </row>
    <row r="43" spans="2:11" x14ac:dyDescent="0.3">
      <c r="B43" t="str">
        <v>Iran</v>
      </c>
      <c r="C43" t="str">
        <v>Office Supplies</v>
      </c>
      <c r="D43" t="str">
        <v>Storage</v>
      </c>
      <c r="E43">
        <v>62</v>
      </c>
      <c r="F43">
        <v>2</v>
      </c>
      <c r="G43">
        <v>0</v>
      </c>
      <c r="H43">
        <v>8.6999999999999993</v>
      </c>
      <c r="I43">
        <v>5.16</v>
      </c>
      <c r="J43" t="str">
        <v>Medium</v>
      </c>
      <c r="K43">
        <v>124</v>
      </c>
    </row>
    <row r="44" spans="2:11" x14ac:dyDescent="0.3">
      <c r="B44" t="str">
        <v>Tanzania</v>
      </c>
      <c r="C44" t="str">
        <v>Office Supplies</v>
      </c>
      <c r="D44" t="str">
        <v>Supplies</v>
      </c>
      <c r="E44">
        <v>81</v>
      </c>
      <c r="F44">
        <v>4</v>
      </c>
      <c r="G44">
        <v>0</v>
      </c>
      <c r="H44">
        <v>26.76</v>
      </c>
      <c r="I44">
        <v>5.1100000000000003</v>
      </c>
      <c r="J44" t="str">
        <v>Medium</v>
      </c>
      <c r="K44">
        <v>324</v>
      </c>
    </row>
    <row r="45" spans="2:11" x14ac:dyDescent="0.3">
      <c r="B45" t="str">
        <v>Brazil</v>
      </c>
      <c r="C45" t="str">
        <v>Furniture</v>
      </c>
      <c r="D45" t="str">
        <v>Bookcases</v>
      </c>
      <c r="E45">
        <v>1648</v>
      </c>
      <c r="F45">
        <v>6</v>
      </c>
      <c r="G45">
        <v>0</v>
      </c>
      <c r="H45">
        <v>609.84</v>
      </c>
      <c r="I45">
        <v>109.13</v>
      </c>
      <c r="J45" t="str">
        <v>Medium</v>
      </c>
      <c r="K45">
        <v>9888</v>
      </c>
    </row>
    <row r="46" spans="2:11" x14ac:dyDescent="0.3">
      <c r="B46" t="str">
        <v>Mexico</v>
      </c>
      <c r="C46" t="str">
        <v>Technology</v>
      </c>
      <c r="D46" t="str">
        <v>Accessories</v>
      </c>
      <c r="E46">
        <v>223</v>
      </c>
      <c r="F46">
        <v>4</v>
      </c>
      <c r="G46">
        <v>0</v>
      </c>
      <c r="H46">
        <v>13.28</v>
      </c>
      <c r="I46">
        <v>42.28</v>
      </c>
      <c r="J46" t="str">
        <v>High</v>
      </c>
      <c r="K46">
        <v>892</v>
      </c>
    </row>
    <row r="52" spans="2:22" x14ac:dyDescent="0.3">
      <c r="B52" s="1" t="s">
        <v>2</v>
      </c>
      <c r="C52" t="s">
        <v>13</v>
      </c>
      <c r="D52" t="s">
        <v>13</v>
      </c>
      <c r="E52" t="s">
        <v>13</v>
      </c>
      <c r="F52" t="s">
        <v>13</v>
      </c>
      <c r="G52" t="s">
        <v>31</v>
      </c>
      <c r="H52" t="s">
        <v>24</v>
      </c>
      <c r="I52" t="s">
        <v>13</v>
      </c>
      <c r="J52" t="s">
        <v>24</v>
      </c>
      <c r="K52" t="s">
        <v>31</v>
      </c>
      <c r="L52" t="s">
        <v>13</v>
      </c>
      <c r="M52" t="s">
        <v>13</v>
      </c>
      <c r="N52" t="s">
        <v>24</v>
      </c>
      <c r="O52" t="s">
        <v>31</v>
      </c>
    </row>
    <row r="53" spans="2:22" x14ac:dyDescent="0.3">
      <c r="B53" s="1" t="s">
        <v>3</v>
      </c>
      <c r="C53" t="s">
        <v>14</v>
      </c>
      <c r="D53" t="s">
        <v>17</v>
      </c>
      <c r="E53" t="s">
        <v>14</v>
      </c>
      <c r="F53" t="s">
        <v>23</v>
      </c>
      <c r="G53" t="s">
        <v>32</v>
      </c>
      <c r="H53" t="s">
        <v>35</v>
      </c>
      <c r="I53" t="s">
        <v>14</v>
      </c>
      <c r="J53" t="s">
        <v>39</v>
      </c>
      <c r="K53" t="s">
        <v>41</v>
      </c>
      <c r="L53" t="s">
        <v>14</v>
      </c>
      <c r="M53" t="s">
        <v>17</v>
      </c>
      <c r="N53" t="s">
        <v>39</v>
      </c>
      <c r="O53" t="s">
        <v>43</v>
      </c>
    </row>
    <row r="54" spans="2:22" x14ac:dyDescent="0.3">
      <c r="B54" s="1" t="s">
        <v>4</v>
      </c>
      <c r="C54">
        <v>408</v>
      </c>
      <c r="D54">
        <v>120</v>
      </c>
      <c r="E54">
        <v>66</v>
      </c>
      <c r="F54">
        <v>45</v>
      </c>
      <c r="G54">
        <v>912</v>
      </c>
      <c r="H54">
        <v>667</v>
      </c>
      <c r="I54">
        <v>338</v>
      </c>
      <c r="J54">
        <v>854</v>
      </c>
      <c r="K54">
        <v>195</v>
      </c>
      <c r="L54">
        <v>62</v>
      </c>
      <c r="M54">
        <v>81</v>
      </c>
      <c r="N54">
        <v>1648</v>
      </c>
      <c r="O54">
        <v>223</v>
      </c>
    </row>
    <row r="55" spans="2:22" x14ac:dyDescent="0.3">
      <c r="B55" s="1" t="s">
        <v>5</v>
      </c>
      <c r="C55">
        <v>2</v>
      </c>
      <c r="D55">
        <v>3</v>
      </c>
      <c r="E55">
        <v>4</v>
      </c>
      <c r="F55">
        <v>3</v>
      </c>
      <c r="G55">
        <v>4</v>
      </c>
      <c r="H55">
        <v>4</v>
      </c>
      <c r="I55">
        <v>3</v>
      </c>
      <c r="J55">
        <v>7</v>
      </c>
      <c r="K55">
        <v>4</v>
      </c>
      <c r="L55">
        <v>2</v>
      </c>
      <c r="M55">
        <v>4</v>
      </c>
      <c r="N55">
        <v>6</v>
      </c>
      <c r="O55">
        <v>4</v>
      </c>
    </row>
    <row r="57" spans="2:22" x14ac:dyDescent="0.3">
      <c r="I57" s="1" t="s">
        <v>2</v>
      </c>
      <c r="J57" t="s">
        <v>13</v>
      </c>
      <c r="K57" t="s">
        <v>13</v>
      </c>
      <c r="L57" t="s">
        <v>13</v>
      </c>
      <c r="M57" t="s">
        <v>13</v>
      </c>
      <c r="N57" t="s">
        <v>31</v>
      </c>
      <c r="O57" t="s">
        <v>24</v>
      </c>
      <c r="P57" t="s">
        <v>13</v>
      </c>
      <c r="Q57" t="s">
        <v>24</v>
      </c>
      <c r="R57" t="s">
        <v>31</v>
      </c>
      <c r="S57" t="s">
        <v>13</v>
      </c>
      <c r="T57" t="s">
        <v>13</v>
      </c>
      <c r="U57" t="s">
        <v>24</v>
      </c>
      <c r="V57" t="s">
        <v>31</v>
      </c>
    </row>
    <row r="58" spans="2:22" x14ac:dyDescent="0.3">
      <c r="I58" s="1" t="s">
        <v>3</v>
      </c>
      <c r="J58" t="s">
        <v>14</v>
      </c>
      <c r="K58" t="s">
        <v>17</v>
      </c>
      <c r="L58" t="s">
        <v>14</v>
      </c>
      <c r="M58" t="s">
        <v>23</v>
      </c>
      <c r="N58" t="s">
        <v>32</v>
      </c>
      <c r="O58" t="s">
        <v>35</v>
      </c>
      <c r="P58" t="s">
        <v>14</v>
      </c>
      <c r="Q58" t="s">
        <v>39</v>
      </c>
      <c r="R58" t="s">
        <v>41</v>
      </c>
      <c r="S58" t="s">
        <v>14</v>
      </c>
      <c r="T58" t="s">
        <v>17</v>
      </c>
      <c r="U58" t="s">
        <v>39</v>
      </c>
      <c r="V58" t="s">
        <v>43</v>
      </c>
    </row>
    <row r="59" spans="2:22" x14ac:dyDescent="0.3">
      <c r="I59" s="1" t="s">
        <v>4</v>
      </c>
      <c r="J59">
        <v>408</v>
      </c>
      <c r="K59">
        <v>120</v>
      </c>
      <c r="L59">
        <v>66</v>
      </c>
      <c r="M59">
        <v>45</v>
      </c>
      <c r="N59">
        <v>912</v>
      </c>
      <c r="O59">
        <v>667</v>
      </c>
      <c r="P59">
        <v>338</v>
      </c>
      <c r="Q59">
        <v>854</v>
      </c>
      <c r="R59">
        <v>195</v>
      </c>
      <c r="S59">
        <v>62</v>
      </c>
      <c r="T59">
        <v>81</v>
      </c>
      <c r="U59">
        <v>1648</v>
      </c>
      <c r="V59">
        <v>223</v>
      </c>
    </row>
    <row r="60" spans="2:22" x14ac:dyDescent="0.3">
      <c r="I60" s="1" t="s">
        <v>5</v>
      </c>
      <c r="J60">
        <v>2</v>
      </c>
      <c r="K60">
        <v>3</v>
      </c>
      <c r="L60">
        <v>4</v>
      </c>
      <c r="M60">
        <v>3</v>
      </c>
      <c r="N60">
        <v>4</v>
      </c>
      <c r="O60">
        <v>4</v>
      </c>
      <c r="P60">
        <v>3</v>
      </c>
      <c r="Q60">
        <v>7</v>
      </c>
      <c r="R60">
        <v>4</v>
      </c>
      <c r="S60">
        <v>2</v>
      </c>
      <c r="T60">
        <v>4</v>
      </c>
      <c r="U60">
        <v>6</v>
      </c>
      <c r="V60">
        <v>4</v>
      </c>
    </row>
    <row r="65" spans="1:28" x14ac:dyDescent="0.3">
      <c r="B65" t="str" cm="1">
        <f t="array" ref="B65:AB68">_xlfn.HSTACK(B52:O55,J57:V60)</f>
        <v>category</v>
      </c>
      <c r="C65" t="str">
        <v>Office Supplies</v>
      </c>
      <c r="D65" t="str">
        <v>Office Supplies</v>
      </c>
      <c r="E65" t="str">
        <v>Office Supplies</v>
      </c>
      <c r="F65" t="str">
        <v>Office Supplies</v>
      </c>
      <c r="G65" t="str">
        <v>Technology</v>
      </c>
      <c r="H65" t="str">
        <v>Furniture</v>
      </c>
      <c r="I65" t="str">
        <v>Office Supplies</v>
      </c>
      <c r="J65" t="str">
        <v>Furniture</v>
      </c>
      <c r="K65" t="str">
        <v>Technology</v>
      </c>
      <c r="L65" t="str">
        <v>Office Supplies</v>
      </c>
      <c r="M65" t="str">
        <v>Office Supplies</v>
      </c>
      <c r="N65" t="str">
        <v>Furniture</v>
      </c>
      <c r="O65" t="str">
        <v>Technology</v>
      </c>
      <c r="P65" t="str">
        <v>Office Supplies</v>
      </c>
      <c r="Q65" t="str">
        <v>Office Supplies</v>
      </c>
      <c r="R65" t="str">
        <v>Office Supplies</v>
      </c>
      <c r="S65" t="str">
        <v>Office Supplies</v>
      </c>
      <c r="T65" t="str">
        <v>Technology</v>
      </c>
      <c r="U65" t="str">
        <v>Furniture</v>
      </c>
      <c r="V65" t="str">
        <v>Office Supplies</v>
      </c>
      <c r="W65" t="str">
        <v>Furniture</v>
      </c>
      <c r="X65" t="str">
        <v>Technology</v>
      </c>
      <c r="Y65" t="str">
        <v>Office Supplies</v>
      </c>
      <c r="Z65" t="str">
        <v>Office Supplies</v>
      </c>
      <c r="AA65" t="str">
        <v>Furniture</v>
      </c>
      <c r="AB65" t="str">
        <v>Technology</v>
      </c>
    </row>
    <row r="66" spans="1:28" x14ac:dyDescent="0.3">
      <c r="B66" t="str">
        <v>sub_category</v>
      </c>
      <c r="C66" t="str">
        <v>Storage</v>
      </c>
      <c r="D66" t="str">
        <v>Supplies</v>
      </c>
      <c r="E66" t="str">
        <v>Storage</v>
      </c>
      <c r="F66" t="str">
        <v>Paper</v>
      </c>
      <c r="G66" t="str">
        <v>Copiers</v>
      </c>
      <c r="H66" t="str">
        <v>Chairs</v>
      </c>
      <c r="I66" t="str">
        <v>Storage</v>
      </c>
      <c r="J66" t="str">
        <v>Bookcases</v>
      </c>
      <c r="K66" t="str">
        <v>Phones</v>
      </c>
      <c r="L66" t="str">
        <v>Storage</v>
      </c>
      <c r="M66" t="str">
        <v>Supplies</v>
      </c>
      <c r="N66" t="str">
        <v>Bookcases</v>
      </c>
      <c r="O66" t="str">
        <v>Accessories</v>
      </c>
      <c r="P66" t="str">
        <v>Storage</v>
      </c>
      <c r="Q66" t="str">
        <v>Supplies</v>
      </c>
      <c r="R66" t="str">
        <v>Storage</v>
      </c>
      <c r="S66" t="str">
        <v>Paper</v>
      </c>
      <c r="T66" t="str">
        <v>Copiers</v>
      </c>
      <c r="U66" t="str">
        <v>Chairs</v>
      </c>
      <c r="V66" t="str">
        <v>Storage</v>
      </c>
      <c r="W66" t="str">
        <v>Bookcases</v>
      </c>
      <c r="X66" t="str">
        <v>Phones</v>
      </c>
      <c r="Y66" t="str">
        <v>Storage</v>
      </c>
      <c r="Z66" t="str">
        <v>Supplies</v>
      </c>
      <c r="AA66" t="str">
        <v>Bookcases</v>
      </c>
      <c r="AB66" t="str">
        <v>Accessories</v>
      </c>
    </row>
    <row r="67" spans="1:28" x14ac:dyDescent="0.3">
      <c r="B67" t="str">
        <v>sales</v>
      </c>
      <c r="C67">
        <v>408</v>
      </c>
      <c r="D67">
        <v>120</v>
      </c>
      <c r="E67">
        <v>66</v>
      </c>
      <c r="F67">
        <v>45</v>
      </c>
      <c r="G67">
        <v>912</v>
      </c>
      <c r="H67">
        <v>667</v>
      </c>
      <c r="I67">
        <v>338</v>
      </c>
      <c r="J67">
        <v>854</v>
      </c>
      <c r="K67">
        <v>195</v>
      </c>
      <c r="L67">
        <v>62</v>
      </c>
      <c r="M67">
        <v>81</v>
      </c>
      <c r="N67">
        <v>1648</v>
      </c>
      <c r="O67">
        <v>223</v>
      </c>
      <c r="P67">
        <v>408</v>
      </c>
      <c r="Q67">
        <v>120</v>
      </c>
      <c r="R67">
        <v>66</v>
      </c>
      <c r="S67">
        <v>45</v>
      </c>
      <c r="T67">
        <v>912</v>
      </c>
      <c r="U67">
        <v>667</v>
      </c>
      <c r="V67">
        <v>338</v>
      </c>
      <c r="W67">
        <v>854</v>
      </c>
      <c r="X67">
        <v>195</v>
      </c>
      <c r="Y67">
        <v>62</v>
      </c>
      <c r="Z67">
        <v>81</v>
      </c>
      <c r="AA67">
        <v>1648</v>
      </c>
      <c r="AB67">
        <v>223</v>
      </c>
    </row>
    <row r="68" spans="1:28" x14ac:dyDescent="0.3">
      <c r="B68" t="str">
        <v>quantity</v>
      </c>
      <c r="C68">
        <v>2</v>
      </c>
      <c r="D68">
        <v>3</v>
      </c>
      <c r="E68">
        <v>4</v>
      </c>
      <c r="F68">
        <v>3</v>
      </c>
      <c r="G68">
        <v>4</v>
      </c>
      <c r="H68">
        <v>4</v>
      </c>
      <c r="I68">
        <v>3</v>
      </c>
      <c r="J68">
        <v>7</v>
      </c>
      <c r="K68">
        <v>4</v>
      </c>
      <c r="L68">
        <v>2</v>
      </c>
      <c r="M68">
        <v>4</v>
      </c>
      <c r="N68">
        <v>6</v>
      </c>
      <c r="O68">
        <v>4</v>
      </c>
      <c r="P68">
        <v>2</v>
      </c>
      <c r="Q68">
        <v>3</v>
      </c>
      <c r="R68">
        <v>4</v>
      </c>
      <c r="S68">
        <v>3</v>
      </c>
      <c r="T68">
        <v>4</v>
      </c>
      <c r="U68">
        <v>4</v>
      </c>
      <c r="V68">
        <v>3</v>
      </c>
      <c r="W68">
        <v>7</v>
      </c>
      <c r="X68">
        <v>4</v>
      </c>
      <c r="Y68">
        <v>2</v>
      </c>
      <c r="Z68">
        <v>4</v>
      </c>
      <c r="AA68">
        <v>6</v>
      </c>
      <c r="AB68">
        <v>4</v>
      </c>
    </row>
    <row r="73" spans="1:28" x14ac:dyDescent="0.3">
      <c r="A73">
        <f>COLUMNS(A1:J14)</f>
        <v>10</v>
      </c>
    </row>
    <row r="74" spans="1:28" x14ac:dyDescent="0.3">
      <c r="A74">
        <f>ROWS(A1:J14)</f>
        <v>14</v>
      </c>
    </row>
    <row r="77" spans="1:28" x14ac:dyDescent="0.3">
      <c r="A77" t="str" cm="1">
        <f t="array" ref="A77:A216">_xlfn.TOCOL(A1:J14)</f>
        <v>country</v>
      </c>
      <c r="C77" t="str" cm="1">
        <f t="array" ref="C77:P86">_xlfn.WRAPCOLS(_xlfn.ANCHORARRAY(A77),10)</f>
        <v>country</v>
      </c>
      <c r="D77" t="str">
        <v>Algeria</v>
      </c>
      <c r="E77" t="str">
        <v>Australia</v>
      </c>
      <c r="F77" t="str">
        <v>Hungary</v>
      </c>
      <c r="G77" t="str">
        <v>Sweden</v>
      </c>
      <c r="H77" t="str">
        <v>New Zealand</v>
      </c>
      <c r="I77" t="str">
        <v>Iraq</v>
      </c>
      <c r="J77" t="str">
        <v>Philippines</v>
      </c>
      <c r="K77" t="str">
        <v>United Kingdom</v>
      </c>
      <c r="L77" t="str">
        <v>Guatemala</v>
      </c>
      <c r="M77" t="str">
        <v>Iran</v>
      </c>
      <c r="N77" t="str">
        <v>Tanzania</v>
      </c>
      <c r="O77" t="str">
        <v>Brazil</v>
      </c>
      <c r="P77" t="str">
        <v>Mexico</v>
      </c>
    </row>
    <row r="78" spans="1:28" x14ac:dyDescent="0.3">
      <c r="A78" t="str">
        <v>category</v>
      </c>
      <c r="C78" t="str">
        <v>category</v>
      </c>
      <c r="D78" t="str">
        <v>Office Supplies</v>
      </c>
      <c r="E78" t="str">
        <v>Office Supplies</v>
      </c>
      <c r="F78" t="str">
        <v>Office Supplies</v>
      </c>
      <c r="G78" t="str">
        <v>Office Supplies</v>
      </c>
      <c r="H78" t="str">
        <v>Technology</v>
      </c>
      <c r="I78" t="str">
        <v>Furniture</v>
      </c>
      <c r="J78" t="str">
        <v>Office Supplies</v>
      </c>
      <c r="K78" t="str">
        <v>Furniture</v>
      </c>
      <c r="L78" t="str">
        <v>Technology</v>
      </c>
      <c r="M78" t="str">
        <v>Office Supplies</v>
      </c>
      <c r="N78" t="str">
        <v>Office Supplies</v>
      </c>
      <c r="O78" t="str">
        <v>Furniture</v>
      </c>
      <c r="P78" t="str">
        <v>Technology</v>
      </c>
    </row>
    <row r="79" spans="1:28" x14ac:dyDescent="0.3">
      <c r="A79" t="str">
        <v>sub_category</v>
      </c>
      <c r="C79" t="str">
        <v>sub_category</v>
      </c>
      <c r="D79" t="str">
        <v>Storage</v>
      </c>
      <c r="E79" t="str">
        <v>Supplies</v>
      </c>
      <c r="F79" t="str">
        <v>Storage</v>
      </c>
      <c r="G79" t="str">
        <v>Paper</v>
      </c>
      <c r="H79" t="str">
        <v>Copiers</v>
      </c>
      <c r="I79" t="str">
        <v>Chairs</v>
      </c>
      <c r="J79" t="str">
        <v>Storage</v>
      </c>
      <c r="K79" t="str">
        <v>Bookcases</v>
      </c>
      <c r="L79" t="str">
        <v>Phones</v>
      </c>
      <c r="M79" t="str">
        <v>Storage</v>
      </c>
      <c r="N79" t="str">
        <v>Supplies</v>
      </c>
      <c r="O79" t="str">
        <v>Bookcases</v>
      </c>
      <c r="P79" t="str">
        <v>Accessories</v>
      </c>
    </row>
    <row r="80" spans="1:28" x14ac:dyDescent="0.3">
      <c r="A80" t="str">
        <v>sales</v>
      </c>
      <c r="C80" t="str">
        <v>sales</v>
      </c>
      <c r="D80">
        <v>408</v>
      </c>
      <c r="E80">
        <v>120</v>
      </c>
      <c r="F80">
        <v>66</v>
      </c>
      <c r="G80">
        <v>45</v>
      </c>
      <c r="H80">
        <v>912</v>
      </c>
      <c r="I80">
        <v>667</v>
      </c>
      <c r="J80">
        <v>338</v>
      </c>
      <c r="K80">
        <v>854</v>
      </c>
      <c r="L80">
        <v>195</v>
      </c>
      <c r="M80">
        <v>62</v>
      </c>
      <c r="N80">
        <v>81</v>
      </c>
      <c r="O80">
        <v>1648</v>
      </c>
      <c r="P80">
        <v>223</v>
      </c>
    </row>
    <row r="81" spans="1:142" x14ac:dyDescent="0.3">
      <c r="A81" t="str">
        <v>quantity</v>
      </c>
      <c r="C81" t="str">
        <v>quantity</v>
      </c>
      <c r="D81">
        <v>2</v>
      </c>
      <c r="E81">
        <v>3</v>
      </c>
      <c r="F81">
        <v>4</v>
      </c>
      <c r="G81">
        <v>3</v>
      </c>
      <c r="H81">
        <v>4</v>
      </c>
      <c r="I81">
        <v>4</v>
      </c>
      <c r="J81">
        <v>3</v>
      </c>
      <c r="K81">
        <v>7</v>
      </c>
      <c r="L81">
        <v>4</v>
      </c>
      <c r="M81">
        <v>2</v>
      </c>
      <c r="N81">
        <v>4</v>
      </c>
      <c r="O81">
        <v>6</v>
      </c>
      <c r="P81">
        <v>4</v>
      </c>
    </row>
    <row r="82" spans="1:142" x14ac:dyDescent="0.3">
      <c r="A82" t="str">
        <v>discount</v>
      </c>
      <c r="C82" t="str">
        <v>discount</v>
      </c>
      <c r="D82">
        <v>0</v>
      </c>
      <c r="E82">
        <v>0.1</v>
      </c>
      <c r="F82">
        <v>0</v>
      </c>
      <c r="G82">
        <v>0.5</v>
      </c>
      <c r="H82">
        <v>0.4</v>
      </c>
      <c r="I82">
        <v>0</v>
      </c>
      <c r="J82">
        <v>0.45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</row>
    <row r="83" spans="1:142" x14ac:dyDescent="0.3">
      <c r="A83" t="str">
        <v>profit</v>
      </c>
      <c r="C83" t="str">
        <v>profit</v>
      </c>
      <c r="D83">
        <v>106.14</v>
      </c>
      <c r="E83">
        <v>36.036000000000001</v>
      </c>
      <c r="F83">
        <v>29.64</v>
      </c>
      <c r="G83">
        <v>-26.055</v>
      </c>
      <c r="H83">
        <v>-319.464</v>
      </c>
      <c r="I83">
        <v>253.32</v>
      </c>
      <c r="J83">
        <v>-122.8005</v>
      </c>
      <c r="K83">
        <v>290.43</v>
      </c>
      <c r="L83">
        <v>44.88</v>
      </c>
      <c r="M83">
        <v>8.6999999999999993</v>
      </c>
      <c r="N83">
        <v>26.76</v>
      </c>
      <c r="O83">
        <v>609.84</v>
      </c>
      <c r="P83">
        <v>13.28</v>
      </c>
    </row>
    <row r="84" spans="1:142" x14ac:dyDescent="0.3">
      <c r="A84" t="str">
        <v>shipping_cost</v>
      </c>
      <c r="C84" t="str">
        <v>shipping_cost</v>
      </c>
      <c r="D84">
        <v>35.46</v>
      </c>
      <c r="E84">
        <v>9.7200000000000006</v>
      </c>
      <c r="F84">
        <v>8.17</v>
      </c>
      <c r="G84">
        <v>4.82</v>
      </c>
      <c r="H84">
        <v>107.1</v>
      </c>
      <c r="I84">
        <v>81.260000000000005</v>
      </c>
      <c r="J84">
        <v>33.75</v>
      </c>
      <c r="K84">
        <v>12.56</v>
      </c>
      <c r="L84">
        <v>8.43</v>
      </c>
      <c r="M84">
        <v>5.16</v>
      </c>
      <c r="N84">
        <v>5.1100000000000003</v>
      </c>
      <c r="O84">
        <v>109.13</v>
      </c>
      <c r="P84">
        <v>42.28</v>
      </c>
    </row>
    <row r="85" spans="1:142" x14ac:dyDescent="0.3">
      <c r="A85" t="str">
        <v>order_priority</v>
      </c>
      <c r="C85" t="str">
        <v>order_priority</v>
      </c>
      <c r="D85" t="str">
        <v>Medium</v>
      </c>
      <c r="E85" t="str">
        <v>Medium</v>
      </c>
      <c r="F85" t="str">
        <v>High</v>
      </c>
      <c r="G85" t="str">
        <v>High</v>
      </c>
      <c r="H85" t="str">
        <v>Low</v>
      </c>
      <c r="I85" t="str">
        <v>High</v>
      </c>
      <c r="J85" t="str">
        <v>High</v>
      </c>
      <c r="K85" t="str">
        <v>Medium</v>
      </c>
      <c r="L85" t="str">
        <v>Medium</v>
      </c>
      <c r="M85" t="str">
        <v>Medium</v>
      </c>
      <c r="N85" t="str">
        <v>Medium</v>
      </c>
      <c r="O85" t="str">
        <v>Medium</v>
      </c>
      <c r="P85" t="str">
        <v>High</v>
      </c>
    </row>
    <row r="86" spans="1:142" x14ac:dyDescent="0.3">
      <c r="A86" t="str">
        <v>total sales</v>
      </c>
      <c r="C86" t="str">
        <v>total sales</v>
      </c>
      <c r="D86">
        <v>816</v>
      </c>
      <c r="E86">
        <v>360</v>
      </c>
      <c r="F86">
        <v>264</v>
      </c>
      <c r="G86">
        <v>135</v>
      </c>
      <c r="H86">
        <v>3648</v>
      </c>
      <c r="I86">
        <v>2668</v>
      </c>
      <c r="J86">
        <v>1014</v>
      </c>
      <c r="K86">
        <v>5978</v>
      </c>
      <c r="L86">
        <v>780</v>
      </c>
      <c r="M86">
        <v>124</v>
      </c>
      <c r="N86">
        <v>324</v>
      </c>
      <c r="O86">
        <v>9888</v>
      </c>
      <c r="P86">
        <v>892</v>
      </c>
    </row>
    <row r="87" spans="1:142" x14ac:dyDescent="0.3">
      <c r="A87" t="str">
        <v>Algeria</v>
      </c>
    </row>
    <row r="88" spans="1:142" x14ac:dyDescent="0.3">
      <c r="A88" t="str">
        <v>Office Supplies</v>
      </c>
    </row>
    <row r="89" spans="1:142" x14ac:dyDescent="0.3">
      <c r="A89" t="str">
        <v>Storage</v>
      </c>
    </row>
    <row r="90" spans="1:142" x14ac:dyDescent="0.3">
      <c r="A90">
        <v>408</v>
      </c>
    </row>
    <row r="91" spans="1:142" x14ac:dyDescent="0.3">
      <c r="A91">
        <v>2</v>
      </c>
      <c r="C91" t="str" cm="1">
        <f t="array" ref="C91:EL91">_xlfn.TOROW(A1:J14)</f>
        <v>country</v>
      </c>
      <c r="D91" t="str">
        <v>category</v>
      </c>
      <c r="E91" t="str">
        <v>sub_category</v>
      </c>
      <c r="F91" t="str">
        <v>sales</v>
      </c>
      <c r="G91" t="str">
        <v>quantity</v>
      </c>
      <c r="H91" t="str">
        <v>discount</v>
      </c>
      <c r="I91" t="str">
        <v>profit</v>
      </c>
      <c r="J91" t="str">
        <v>shipping_cost</v>
      </c>
      <c r="K91" t="str">
        <v>order_priority</v>
      </c>
      <c r="L91" t="str">
        <v>total sales</v>
      </c>
      <c r="M91" t="str">
        <v>Algeria</v>
      </c>
      <c r="N91" t="str">
        <v>Office Supplies</v>
      </c>
      <c r="O91" t="str">
        <v>Storage</v>
      </c>
      <c r="P91">
        <v>408</v>
      </c>
      <c r="Q91">
        <v>2</v>
      </c>
      <c r="R91">
        <v>0</v>
      </c>
      <c r="S91">
        <v>106.14</v>
      </c>
      <c r="T91">
        <v>35.46</v>
      </c>
      <c r="U91" t="str">
        <v>Medium</v>
      </c>
      <c r="V91">
        <v>816</v>
      </c>
      <c r="W91" t="str">
        <v>Australia</v>
      </c>
      <c r="X91" t="str">
        <v>Office Supplies</v>
      </c>
      <c r="Y91" t="str">
        <v>Supplies</v>
      </c>
      <c r="Z91">
        <v>120</v>
      </c>
      <c r="AA91">
        <v>3</v>
      </c>
      <c r="AB91">
        <v>0.1</v>
      </c>
      <c r="AC91">
        <v>36.036000000000001</v>
      </c>
      <c r="AD91">
        <v>9.7200000000000006</v>
      </c>
      <c r="AE91" t="str">
        <v>Medium</v>
      </c>
      <c r="AF91">
        <v>360</v>
      </c>
      <c r="AG91" t="str">
        <v>Hungary</v>
      </c>
      <c r="AH91" t="str">
        <v>Office Supplies</v>
      </c>
      <c r="AI91" t="str">
        <v>Storage</v>
      </c>
      <c r="AJ91">
        <v>66</v>
      </c>
      <c r="AK91">
        <v>4</v>
      </c>
      <c r="AL91">
        <v>0</v>
      </c>
      <c r="AM91">
        <v>29.64</v>
      </c>
      <c r="AN91">
        <v>8.17</v>
      </c>
      <c r="AO91" t="str">
        <v>High</v>
      </c>
      <c r="AP91">
        <v>264</v>
      </c>
      <c r="AQ91" t="str">
        <v>Sweden</v>
      </c>
      <c r="AR91" t="str">
        <v>Office Supplies</v>
      </c>
      <c r="AS91" t="str">
        <v>Paper</v>
      </c>
      <c r="AT91">
        <v>45</v>
      </c>
      <c r="AU91">
        <v>3</v>
      </c>
      <c r="AV91">
        <v>0.5</v>
      </c>
      <c r="AW91">
        <v>-26.055</v>
      </c>
      <c r="AX91">
        <v>4.82</v>
      </c>
      <c r="AY91" t="str">
        <v>High</v>
      </c>
      <c r="AZ91">
        <v>135</v>
      </c>
      <c r="BA91" t="str">
        <v>New Zealand</v>
      </c>
      <c r="BB91" t="str">
        <v>Technology</v>
      </c>
      <c r="BC91" t="str">
        <v>Copiers</v>
      </c>
      <c r="BD91">
        <v>912</v>
      </c>
      <c r="BE91">
        <v>4</v>
      </c>
      <c r="BF91">
        <v>0.4</v>
      </c>
      <c r="BG91">
        <v>-319.464</v>
      </c>
      <c r="BH91">
        <v>107.1</v>
      </c>
      <c r="BI91" t="str">
        <v>Low</v>
      </c>
      <c r="BJ91">
        <v>3648</v>
      </c>
      <c r="BK91" t="str">
        <v>Iraq</v>
      </c>
      <c r="BL91" t="str">
        <v>Furniture</v>
      </c>
      <c r="BM91" t="str">
        <v>Chairs</v>
      </c>
      <c r="BN91">
        <v>667</v>
      </c>
      <c r="BO91">
        <v>4</v>
      </c>
      <c r="BP91">
        <v>0</v>
      </c>
      <c r="BQ91">
        <v>253.32</v>
      </c>
      <c r="BR91">
        <v>81.260000000000005</v>
      </c>
      <c r="BS91" t="str">
        <v>High</v>
      </c>
      <c r="BT91">
        <v>2668</v>
      </c>
      <c r="BU91" t="str">
        <v>Philippines</v>
      </c>
      <c r="BV91" t="str">
        <v>Office Supplies</v>
      </c>
      <c r="BW91" t="str">
        <v>Storage</v>
      </c>
      <c r="BX91">
        <v>338</v>
      </c>
      <c r="BY91">
        <v>3</v>
      </c>
      <c r="BZ91">
        <v>0.45</v>
      </c>
      <c r="CA91">
        <v>-122.8005</v>
      </c>
      <c r="CB91">
        <v>33.75</v>
      </c>
      <c r="CC91" t="str">
        <v>High</v>
      </c>
      <c r="CD91">
        <v>1014</v>
      </c>
      <c r="CE91" t="str">
        <v>United Kingdom</v>
      </c>
      <c r="CF91" t="str">
        <v>Furniture</v>
      </c>
      <c r="CG91" t="str">
        <v>Bookcases</v>
      </c>
      <c r="CH91">
        <v>854</v>
      </c>
      <c r="CI91">
        <v>7</v>
      </c>
      <c r="CJ91">
        <v>0</v>
      </c>
      <c r="CK91">
        <v>290.43</v>
      </c>
      <c r="CL91">
        <v>12.56</v>
      </c>
      <c r="CM91" t="str">
        <v>Medium</v>
      </c>
      <c r="CN91">
        <v>5978</v>
      </c>
      <c r="CO91" t="str">
        <v>Guatemala</v>
      </c>
      <c r="CP91" t="str">
        <v>Technology</v>
      </c>
      <c r="CQ91" t="str">
        <v>Phones</v>
      </c>
      <c r="CR91">
        <v>195</v>
      </c>
      <c r="CS91">
        <v>4</v>
      </c>
      <c r="CT91">
        <v>0</v>
      </c>
      <c r="CU91">
        <v>44.88</v>
      </c>
      <c r="CV91">
        <v>8.43</v>
      </c>
      <c r="CW91" t="str">
        <v>Medium</v>
      </c>
      <c r="CX91">
        <v>780</v>
      </c>
      <c r="CY91" t="str">
        <v>Iran</v>
      </c>
      <c r="CZ91" t="str">
        <v>Office Supplies</v>
      </c>
      <c r="DA91" t="str">
        <v>Storage</v>
      </c>
      <c r="DB91">
        <v>62</v>
      </c>
      <c r="DC91">
        <v>2</v>
      </c>
      <c r="DD91">
        <v>0</v>
      </c>
      <c r="DE91">
        <v>8.6999999999999993</v>
      </c>
      <c r="DF91">
        <v>5.16</v>
      </c>
      <c r="DG91" t="str">
        <v>Medium</v>
      </c>
      <c r="DH91">
        <v>124</v>
      </c>
      <c r="DI91" t="str">
        <v>Tanzania</v>
      </c>
      <c r="DJ91" t="str">
        <v>Office Supplies</v>
      </c>
      <c r="DK91" t="str">
        <v>Supplies</v>
      </c>
      <c r="DL91">
        <v>81</v>
      </c>
      <c r="DM91">
        <v>4</v>
      </c>
      <c r="DN91">
        <v>0</v>
      </c>
      <c r="DO91">
        <v>26.76</v>
      </c>
      <c r="DP91">
        <v>5.1100000000000003</v>
      </c>
      <c r="DQ91" t="str">
        <v>Medium</v>
      </c>
      <c r="DR91">
        <v>324</v>
      </c>
      <c r="DS91" t="str">
        <v>Brazil</v>
      </c>
      <c r="DT91" t="str">
        <v>Furniture</v>
      </c>
      <c r="DU91" t="str">
        <v>Bookcases</v>
      </c>
      <c r="DV91">
        <v>1648</v>
      </c>
      <c r="DW91">
        <v>6</v>
      </c>
      <c r="DX91">
        <v>0</v>
      </c>
      <c r="DY91">
        <v>609.84</v>
      </c>
      <c r="DZ91">
        <v>109.13</v>
      </c>
      <c r="EA91" t="str">
        <v>Medium</v>
      </c>
      <c r="EB91">
        <v>9888</v>
      </c>
      <c r="EC91" t="str">
        <v>Mexico</v>
      </c>
      <c r="ED91" t="str">
        <v>Technology</v>
      </c>
      <c r="EE91" t="str">
        <v>Accessories</v>
      </c>
      <c r="EF91">
        <v>223</v>
      </c>
      <c r="EG91">
        <v>4</v>
      </c>
      <c r="EH91">
        <v>0</v>
      </c>
      <c r="EI91">
        <v>13.28</v>
      </c>
      <c r="EJ91">
        <v>42.28</v>
      </c>
      <c r="EK91" t="str">
        <v>High</v>
      </c>
      <c r="EL91">
        <v>892</v>
      </c>
    </row>
    <row r="92" spans="1:142" x14ac:dyDescent="0.3">
      <c r="A92">
        <v>0</v>
      </c>
    </row>
    <row r="93" spans="1:142" x14ac:dyDescent="0.3">
      <c r="A93">
        <v>106.14</v>
      </c>
    </row>
    <row r="94" spans="1:142" x14ac:dyDescent="0.3">
      <c r="A94">
        <v>35.46</v>
      </c>
    </row>
    <row r="95" spans="1:142" x14ac:dyDescent="0.3">
      <c r="A95" t="str">
        <v>Medium</v>
      </c>
    </row>
    <row r="96" spans="1:142" x14ac:dyDescent="0.3">
      <c r="A96">
        <v>816</v>
      </c>
      <c r="C96" t="str" cm="1">
        <f t="array" ref="C96:L109">_xlfn.WRAPROWS(_xlfn.ANCHORARRAY(C91),10)</f>
        <v>country</v>
      </c>
      <c r="D96" t="str">
        <v>category</v>
      </c>
      <c r="E96" t="str">
        <v>sub_category</v>
      </c>
      <c r="F96" t="str">
        <v>sales</v>
      </c>
      <c r="G96" t="str">
        <v>quantity</v>
      </c>
      <c r="H96" t="str">
        <v>discount</v>
      </c>
      <c r="I96" t="str">
        <v>profit</v>
      </c>
      <c r="J96" t="str">
        <v>shipping_cost</v>
      </c>
      <c r="K96" t="str">
        <v>order_priority</v>
      </c>
      <c r="L96" t="str">
        <v>total sales</v>
      </c>
    </row>
    <row r="97" spans="1:12" x14ac:dyDescent="0.3">
      <c r="A97" t="str">
        <v>Australia</v>
      </c>
      <c r="C97" t="str">
        <v>Algeria</v>
      </c>
      <c r="D97" t="str">
        <v>Office Supplies</v>
      </c>
      <c r="E97" t="str">
        <v>Storage</v>
      </c>
      <c r="F97">
        <v>408</v>
      </c>
      <c r="G97">
        <v>2</v>
      </c>
      <c r="H97">
        <v>0</v>
      </c>
      <c r="I97">
        <v>106.14</v>
      </c>
      <c r="J97">
        <v>35.46</v>
      </c>
      <c r="K97" t="str">
        <v>Medium</v>
      </c>
      <c r="L97">
        <v>816</v>
      </c>
    </row>
    <row r="98" spans="1:12" x14ac:dyDescent="0.3">
      <c r="A98" t="str">
        <v>Office Supplies</v>
      </c>
      <c r="C98" t="str">
        <v>Australia</v>
      </c>
      <c r="D98" t="str">
        <v>Office Supplies</v>
      </c>
      <c r="E98" t="str">
        <v>Supplies</v>
      </c>
      <c r="F98">
        <v>120</v>
      </c>
      <c r="G98">
        <v>3</v>
      </c>
      <c r="H98">
        <v>0.1</v>
      </c>
      <c r="I98">
        <v>36.036000000000001</v>
      </c>
      <c r="J98">
        <v>9.7200000000000006</v>
      </c>
      <c r="K98" t="str">
        <v>Medium</v>
      </c>
      <c r="L98">
        <v>360</v>
      </c>
    </row>
    <row r="99" spans="1:12" x14ac:dyDescent="0.3">
      <c r="A99" t="str">
        <v>Supplies</v>
      </c>
      <c r="C99" t="str">
        <v>Hungary</v>
      </c>
      <c r="D99" t="str">
        <v>Office Supplies</v>
      </c>
      <c r="E99" t="str">
        <v>Storage</v>
      </c>
      <c r="F99">
        <v>66</v>
      </c>
      <c r="G99">
        <v>4</v>
      </c>
      <c r="H99">
        <v>0</v>
      </c>
      <c r="I99">
        <v>29.64</v>
      </c>
      <c r="J99">
        <v>8.17</v>
      </c>
      <c r="K99" t="str">
        <v>High</v>
      </c>
      <c r="L99">
        <v>264</v>
      </c>
    </row>
    <row r="100" spans="1:12" x14ac:dyDescent="0.3">
      <c r="A100">
        <v>120</v>
      </c>
      <c r="C100" t="str">
        <v>Sweden</v>
      </c>
      <c r="D100" t="str">
        <v>Office Supplies</v>
      </c>
      <c r="E100" t="str">
        <v>Paper</v>
      </c>
      <c r="F100">
        <v>45</v>
      </c>
      <c r="G100">
        <v>3</v>
      </c>
      <c r="H100">
        <v>0.5</v>
      </c>
      <c r="I100">
        <v>-26.055</v>
      </c>
      <c r="J100">
        <v>4.82</v>
      </c>
      <c r="K100" t="str">
        <v>High</v>
      </c>
      <c r="L100">
        <v>135</v>
      </c>
    </row>
    <row r="101" spans="1:12" x14ac:dyDescent="0.3">
      <c r="A101">
        <v>3</v>
      </c>
      <c r="C101" t="str">
        <v>New Zealand</v>
      </c>
      <c r="D101" t="str">
        <v>Technology</v>
      </c>
      <c r="E101" t="str">
        <v>Copiers</v>
      </c>
      <c r="F101">
        <v>912</v>
      </c>
      <c r="G101">
        <v>4</v>
      </c>
      <c r="H101">
        <v>0.4</v>
      </c>
      <c r="I101">
        <v>-319.464</v>
      </c>
      <c r="J101">
        <v>107.1</v>
      </c>
      <c r="K101" t="str">
        <v>Low</v>
      </c>
      <c r="L101">
        <v>3648</v>
      </c>
    </row>
    <row r="102" spans="1:12" x14ac:dyDescent="0.3">
      <c r="A102">
        <v>0.1</v>
      </c>
      <c r="C102" t="str">
        <v>Iraq</v>
      </c>
      <c r="D102" t="str">
        <v>Furniture</v>
      </c>
      <c r="E102" t="str">
        <v>Chairs</v>
      </c>
      <c r="F102">
        <v>667</v>
      </c>
      <c r="G102">
        <v>4</v>
      </c>
      <c r="H102">
        <v>0</v>
      </c>
      <c r="I102">
        <v>253.32</v>
      </c>
      <c r="J102">
        <v>81.260000000000005</v>
      </c>
      <c r="K102" t="str">
        <v>High</v>
      </c>
      <c r="L102">
        <v>2668</v>
      </c>
    </row>
    <row r="103" spans="1:12" x14ac:dyDescent="0.3">
      <c r="A103">
        <v>36.036000000000001</v>
      </c>
      <c r="C103" t="str">
        <v>Philippines</v>
      </c>
      <c r="D103" t="str">
        <v>Office Supplies</v>
      </c>
      <c r="E103" t="str">
        <v>Storage</v>
      </c>
      <c r="F103">
        <v>338</v>
      </c>
      <c r="G103">
        <v>3</v>
      </c>
      <c r="H103">
        <v>0.45</v>
      </c>
      <c r="I103">
        <v>-122.8005</v>
      </c>
      <c r="J103">
        <v>33.75</v>
      </c>
      <c r="K103" t="str">
        <v>High</v>
      </c>
      <c r="L103">
        <v>1014</v>
      </c>
    </row>
    <row r="104" spans="1:12" x14ac:dyDescent="0.3">
      <c r="A104">
        <v>9.7200000000000006</v>
      </c>
      <c r="C104" t="str">
        <v>United Kingdom</v>
      </c>
      <c r="D104" t="str">
        <v>Furniture</v>
      </c>
      <c r="E104" t="str">
        <v>Bookcases</v>
      </c>
      <c r="F104">
        <v>854</v>
      </c>
      <c r="G104">
        <v>7</v>
      </c>
      <c r="H104">
        <v>0</v>
      </c>
      <c r="I104">
        <v>290.43</v>
      </c>
      <c r="J104">
        <v>12.56</v>
      </c>
      <c r="K104" t="str">
        <v>Medium</v>
      </c>
      <c r="L104">
        <v>5978</v>
      </c>
    </row>
    <row r="105" spans="1:12" x14ac:dyDescent="0.3">
      <c r="A105" t="str">
        <v>Medium</v>
      </c>
      <c r="C105" t="str">
        <v>Guatemala</v>
      </c>
      <c r="D105" t="str">
        <v>Technology</v>
      </c>
      <c r="E105" t="str">
        <v>Phones</v>
      </c>
      <c r="F105">
        <v>195</v>
      </c>
      <c r="G105">
        <v>4</v>
      </c>
      <c r="H105">
        <v>0</v>
      </c>
      <c r="I105">
        <v>44.88</v>
      </c>
      <c r="J105">
        <v>8.43</v>
      </c>
      <c r="K105" t="str">
        <v>Medium</v>
      </c>
      <c r="L105">
        <v>780</v>
      </c>
    </row>
    <row r="106" spans="1:12" x14ac:dyDescent="0.3">
      <c r="A106">
        <v>360</v>
      </c>
      <c r="C106" t="str">
        <v>Iran</v>
      </c>
      <c r="D106" t="str">
        <v>Office Supplies</v>
      </c>
      <c r="E106" t="str">
        <v>Storage</v>
      </c>
      <c r="F106">
        <v>62</v>
      </c>
      <c r="G106">
        <v>2</v>
      </c>
      <c r="H106">
        <v>0</v>
      </c>
      <c r="I106">
        <v>8.6999999999999993</v>
      </c>
      <c r="J106">
        <v>5.16</v>
      </c>
      <c r="K106" t="str">
        <v>Medium</v>
      </c>
      <c r="L106">
        <v>124</v>
      </c>
    </row>
    <row r="107" spans="1:12" x14ac:dyDescent="0.3">
      <c r="A107" t="str">
        <v>Hungary</v>
      </c>
      <c r="C107" t="str">
        <v>Tanzania</v>
      </c>
      <c r="D107" t="str">
        <v>Office Supplies</v>
      </c>
      <c r="E107" t="str">
        <v>Supplies</v>
      </c>
      <c r="F107">
        <v>81</v>
      </c>
      <c r="G107">
        <v>4</v>
      </c>
      <c r="H107">
        <v>0</v>
      </c>
      <c r="I107">
        <v>26.76</v>
      </c>
      <c r="J107">
        <v>5.1100000000000003</v>
      </c>
      <c r="K107" t="str">
        <v>Medium</v>
      </c>
      <c r="L107">
        <v>324</v>
      </c>
    </row>
    <row r="108" spans="1:12" x14ac:dyDescent="0.3">
      <c r="A108" t="str">
        <v>Office Supplies</v>
      </c>
      <c r="C108" t="str">
        <v>Brazil</v>
      </c>
      <c r="D108" t="str">
        <v>Furniture</v>
      </c>
      <c r="E108" t="str">
        <v>Bookcases</v>
      </c>
      <c r="F108">
        <v>1648</v>
      </c>
      <c r="G108">
        <v>6</v>
      </c>
      <c r="H108">
        <v>0</v>
      </c>
      <c r="I108">
        <v>609.84</v>
      </c>
      <c r="J108">
        <v>109.13</v>
      </c>
      <c r="K108" t="str">
        <v>Medium</v>
      </c>
      <c r="L108">
        <v>9888</v>
      </c>
    </row>
    <row r="109" spans="1:12" x14ac:dyDescent="0.3">
      <c r="A109" t="str">
        <v>Storage</v>
      </c>
      <c r="C109" t="str">
        <v>Mexico</v>
      </c>
      <c r="D109" t="str">
        <v>Technology</v>
      </c>
      <c r="E109" t="str">
        <v>Accessories</v>
      </c>
      <c r="F109">
        <v>223</v>
      </c>
      <c r="G109">
        <v>4</v>
      </c>
      <c r="H109">
        <v>0</v>
      </c>
      <c r="I109">
        <v>13.28</v>
      </c>
      <c r="J109">
        <v>42.28</v>
      </c>
      <c r="K109" t="str">
        <v>High</v>
      </c>
      <c r="L109">
        <v>892</v>
      </c>
    </row>
    <row r="110" spans="1:12" x14ac:dyDescent="0.3">
      <c r="A110">
        <v>66</v>
      </c>
    </row>
    <row r="111" spans="1:12" x14ac:dyDescent="0.3">
      <c r="A111">
        <v>4</v>
      </c>
    </row>
    <row r="112" spans="1:12" x14ac:dyDescent="0.3">
      <c r="A112">
        <v>0</v>
      </c>
    </row>
    <row r="113" spans="1:16" x14ac:dyDescent="0.3">
      <c r="A113">
        <v>29.64</v>
      </c>
    </row>
    <row r="114" spans="1:16" x14ac:dyDescent="0.3">
      <c r="A114">
        <v>8.17</v>
      </c>
    </row>
    <row r="115" spans="1:16" x14ac:dyDescent="0.3">
      <c r="A115" t="str">
        <v>High</v>
      </c>
      <c r="C115" t="str" cm="1">
        <f t="array" ref="C115:P124">TRANSPOSE(_xlfn.ANCHORARRAY(C96))</f>
        <v>country</v>
      </c>
      <c r="D115" t="str">
        <v>Algeria</v>
      </c>
      <c r="E115" t="str">
        <v>Australia</v>
      </c>
      <c r="F115" t="str">
        <v>Hungary</v>
      </c>
      <c r="G115" t="str">
        <v>Sweden</v>
      </c>
      <c r="H115" t="str">
        <v>New Zealand</v>
      </c>
      <c r="I115" t="str">
        <v>Iraq</v>
      </c>
      <c r="J115" t="str">
        <v>Philippines</v>
      </c>
      <c r="K115" t="str">
        <v>United Kingdom</v>
      </c>
      <c r="L115" t="str">
        <v>Guatemala</v>
      </c>
      <c r="M115" t="str">
        <v>Iran</v>
      </c>
      <c r="N115" t="str">
        <v>Tanzania</v>
      </c>
      <c r="O115" t="str">
        <v>Brazil</v>
      </c>
      <c r="P115" t="str">
        <v>Mexico</v>
      </c>
    </row>
    <row r="116" spans="1:16" x14ac:dyDescent="0.3">
      <c r="A116">
        <v>264</v>
      </c>
      <c r="C116" t="str">
        <v>category</v>
      </c>
      <c r="D116" t="str">
        <v>Office Supplies</v>
      </c>
      <c r="E116" t="str">
        <v>Office Supplies</v>
      </c>
      <c r="F116" t="str">
        <v>Office Supplies</v>
      </c>
      <c r="G116" t="str">
        <v>Office Supplies</v>
      </c>
      <c r="H116" t="str">
        <v>Technology</v>
      </c>
      <c r="I116" t="str">
        <v>Furniture</v>
      </c>
      <c r="J116" t="str">
        <v>Office Supplies</v>
      </c>
      <c r="K116" t="str">
        <v>Furniture</v>
      </c>
      <c r="L116" t="str">
        <v>Technology</v>
      </c>
      <c r="M116" t="str">
        <v>Office Supplies</v>
      </c>
      <c r="N116" t="str">
        <v>Office Supplies</v>
      </c>
      <c r="O116" t="str">
        <v>Furniture</v>
      </c>
      <c r="P116" t="str">
        <v>Technology</v>
      </c>
    </row>
    <row r="117" spans="1:16" x14ac:dyDescent="0.3">
      <c r="A117" t="str">
        <v>Sweden</v>
      </c>
      <c r="C117" t="str">
        <v>sub_category</v>
      </c>
      <c r="D117" t="str">
        <v>Storage</v>
      </c>
      <c r="E117" t="str">
        <v>Supplies</v>
      </c>
      <c r="F117" t="str">
        <v>Storage</v>
      </c>
      <c r="G117" t="str">
        <v>Paper</v>
      </c>
      <c r="H117" t="str">
        <v>Copiers</v>
      </c>
      <c r="I117" t="str">
        <v>Chairs</v>
      </c>
      <c r="J117" t="str">
        <v>Storage</v>
      </c>
      <c r="K117" t="str">
        <v>Bookcases</v>
      </c>
      <c r="L117" t="str">
        <v>Phones</v>
      </c>
      <c r="M117" t="str">
        <v>Storage</v>
      </c>
      <c r="N117" t="str">
        <v>Supplies</v>
      </c>
      <c r="O117" t="str">
        <v>Bookcases</v>
      </c>
      <c r="P117" t="str">
        <v>Accessories</v>
      </c>
    </row>
    <row r="118" spans="1:16" x14ac:dyDescent="0.3">
      <c r="A118" t="str">
        <v>Office Supplies</v>
      </c>
      <c r="C118" t="str">
        <v>sales</v>
      </c>
      <c r="D118">
        <v>408</v>
      </c>
      <c r="E118">
        <v>120</v>
      </c>
      <c r="F118">
        <v>66</v>
      </c>
      <c r="G118">
        <v>45</v>
      </c>
      <c r="H118">
        <v>912</v>
      </c>
      <c r="I118">
        <v>667</v>
      </c>
      <c r="J118">
        <v>338</v>
      </c>
      <c r="K118">
        <v>854</v>
      </c>
      <c r="L118">
        <v>195</v>
      </c>
      <c r="M118">
        <v>62</v>
      </c>
      <c r="N118">
        <v>81</v>
      </c>
      <c r="O118">
        <v>1648</v>
      </c>
      <c r="P118">
        <v>223</v>
      </c>
    </row>
    <row r="119" spans="1:16" x14ac:dyDescent="0.3">
      <c r="A119" t="str">
        <v>Paper</v>
      </c>
      <c r="C119" t="str">
        <v>quantity</v>
      </c>
      <c r="D119">
        <v>2</v>
      </c>
      <c r="E119">
        <v>3</v>
      </c>
      <c r="F119">
        <v>4</v>
      </c>
      <c r="G119">
        <v>3</v>
      </c>
      <c r="H119">
        <v>4</v>
      </c>
      <c r="I119">
        <v>4</v>
      </c>
      <c r="J119">
        <v>3</v>
      </c>
      <c r="K119">
        <v>7</v>
      </c>
      <c r="L119">
        <v>4</v>
      </c>
      <c r="M119">
        <v>2</v>
      </c>
      <c r="N119">
        <v>4</v>
      </c>
      <c r="O119">
        <v>6</v>
      </c>
      <c r="P119">
        <v>4</v>
      </c>
    </row>
    <row r="120" spans="1:16" x14ac:dyDescent="0.3">
      <c r="A120">
        <v>45</v>
      </c>
      <c r="C120" t="str">
        <v>discount</v>
      </c>
      <c r="D120">
        <v>0</v>
      </c>
      <c r="E120">
        <v>0.1</v>
      </c>
      <c r="F120">
        <v>0</v>
      </c>
      <c r="G120">
        <v>0.5</v>
      </c>
      <c r="H120">
        <v>0.4</v>
      </c>
      <c r="I120">
        <v>0</v>
      </c>
      <c r="J120">
        <v>0.45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</row>
    <row r="121" spans="1:16" x14ac:dyDescent="0.3">
      <c r="A121">
        <v>3</v>
      </c>
      <c r="C121" t="str">
        <v>profit</v>
      </c>
      <c r="D121">
        <v>106.14</v>
      </c>
      <c r="E121">
        <v>36.036000000000001</v>
      </c>
      <c r="F121">
        <v>29.64</v>
      </c>
      <c r="G121">
        <v>-26.055</v>
      </c>
      <c r="H121">
        <v>-319.464</v>
      </c>
      <c r="I121">
        <v>253.32</v>
      </c>
      <c r="J121">
        <v>-122.8005</v>
      </c>
      <c r="K121">
        <v>290.43</v>
      </c>
      <c r="L121">
        <v>44.88</v>
      </c>
      <c r="M121">
        <v>8.6999999999999993</v>
      </c>
      <c r="N121">
        <v>26.76</v>
      </c>
      <c r="O121">
        <v>609.84</v>
      </c>
      <c r="P121">
        <v>13.28</v>
      </c>
    </row>
    <row r="122" spans="1:16" x14ac:dyDescent="0.3">
      <c r="A122">
        <v>0.5</v>
      </c>
      <c r="C122" t="str">
        <v>shipping_cost</v>
      </c>
      <c r="D122">
        <v>35.46</v>
      </c>
      <c r="E122">
        <v>9.7200000000000006</v>
      </c>
      <c r="F122">
        <v>8.17</v>
      </c>
      <c r="G122">
        <v>4.82</v>
      </c>
      <c r="H122">
        <v>107.1</v>
      </c>
      <c r="I122">
        <v>81.260000000000005</v>
      </c>
      <c r="J122">
        <v>33.75</v>
      </c>
      <c r="K122">
        <v>12.56</v>
      </c>
      <c r="L122">
        <v>8.43</v>
      </c>
      <c r="M122">
        <v>5.16</v>
      </c>
      <c r="N122">
        <v>5.1100000000000003</v>
      </c>
      <c r="O122">
        <v>109.13</v>
      </c>
      <c r="P122">
        <v>42.28</v>
      </c>
    </row>
    <row r="123" spans="1:16" x14ac:dyDescent="0.3">
      <c r="A123">
        <v>-26.055</v>
      </c>
      <c r="C123" t="str">
        <v>order_priority</v>
      </c>
      <c r="D123" t="str">
        <v>Medium</v>
      </c>
      <c r="E123" t="str">
        <v>Medium</v>
      </c>
      <c r="F123" t="str">
        <v>High</v>
      </c>
      <c r="G123" t="str">
        <v>High</v>
      </c>
      <c r="H123" t="str">
        <v>Low</v>
      </c>
      <c r="I123" t="str">
        <v>High</v>
      </c>
      <c r="J123" t="str">
        <v>High</v>
      </c>
      <c r="K123" t="str">
        <v>Medium</v>
      </c>
      <c r="L123" t="str">
        <v>Medium</v>
      </c>
      <c r="M123" t="str">
        <v>Medium</v>
      </c>
      <c r="N123" t="str">
        <v>Medium</v>
      </c>
      <c r="O123" t="str">
        <v>Medium</v>
      </c>
      <c r="P123" t="str">
        <v>High</v>
      </c>
    </row>
    <row r="124" spans="1:16" x14ac:dyDescent="0.3">
      <c r="A124">
        <v>4.82</v>
      </c>
      <c r="C124" t="str">
        <v>total sales</v>
      </c>
      <c r="D124">
        <v>816</v>
      </c>
      <c r="E124">
        <v>360</v>
      </c>
      <c r="F124">
        <v>264</v>
      </c>
      <c r="G124">
        <v>135</v>
      </c>
      <c r="H124">
        <v>3648</v>
      </c>
      <c r="I124">
        <v>2668</v>
      </c>
      <c r="J124">
        <v>1014</v>
      </c>
      <c r="K124">
        <v>5978</v>
      </c>
      <c r="L124">
        <v>780</v>
      </c>
      <c r="M124">
        <v>124</v>
      </c>
      <c r="N124">
        <v>324</v>
      </c>
      <c r="O124">
        <v>9888</v>
      </c>
      <c r="P124">
        <v>892</v>
      </c>
    </row>
    <row r="125" spans="1:16" x14ac:dyDescent="0.3">
      <c r="A125" t="str">
        <v>High</v>
      </c>
    </row>
    <row r="126" spans="1:16" x14ac:dyDescent="0.3">
      <c r="A126">
        <v>135</v>
      </c>
    </row>
    <row r="127" spans="1:16" x14ac:dyDescent="0.3">
      <c r="A127" t="str">
        <v>New Zealand</v>
      </c>
    </row>
    <row r="128" spans="1:16" x14ac:dyDescent="0.3">
      <c r="A128" t="str">
        <v>Technology</v>
      </c>
    </row>
    <row r="129" spans="1:1" x14ac:dyDescent="0.3">
      <c r="A129" t="str">
        <v>Copiers</v>
      </c>
    </row>
    <row r="130" spans="1:1" x14ac:dyDescent="0.3">
      <c r="A130">
        <v>912</v>
      </c>
    </row>
    <row r="131" spans="1:1" x14ac:dyDescent="0.3">
      <c r="A131">
        <v>4</v>
      </c>
    </row>
    <row r="132" spans="1:1" x14ac:dyDescent="0.3">
      <c r="A132">
        <v>0.4</v>
      </c>
    </row>
    <row r="133" spans="1:1" x14ac:dyDescent="0.3">
      <c r="A133">
        <v>-319.464</v>
      </c>
    </row>
    <row r="134" spans="1:1" x14ac:dyDescent="0.3">
      <c r="A134">
        <v>107.1</v>
      </c>
    </row>
    <row r="135" spans="1:1" x14ac:dyDescent="0.3">
      <c r="A135" t="str">
        <v>Low</v>
      </c>
    </row>
    <row r="136" spans="1:1" x14ac:dyDescent="0.3">
      <c r="A136">
        <v>3648</v>
      </c>
    </row>
    <row r="137" spans="1:1" x14ac:dyDescent="0.3">
      <c r="A137" t="str">
        <v>Iraq</v>
      </c>
    </row>
    <row r="138" spans="1:1" x14ac:dyDescent="0.3">
      <c r="A138" t="str">
        <v>Furniture</v>
      </c>
    </row>
    <row r="139" spans="1:1" x14ac:dyDescent="0.3">
      <c r="A139" t="str">
        <v>Chairs</v>
      </c>
    </row>
    <row r="140" spans="1:1" x14ac:dyDescent="0.3">
      <c r="A140">
        <v>667</v>
      </c>
    </row>
    <row r="141" spans="1:1" x14ac:dyDescent="0.3">
      <c r="A141">
        <v>4</v>
      </c>
    </row>
    <row r="142" spans="1:1" x14ac:dyDescent="0.3">
      <c r="A142">
        <v>0</v>
      </c>
    </row>
    <row r="143" spans="1:1" x14ac:dyDescent="0.3">
      <c r="A143">
        <v>253.32</v>
      </c>
    </row>
    <row r="144" spans="1:1" x14ac:dyDescent="0.3">
      <c r="A144">
        <v>81.260000000000005</v>
      </c>
    </row>
    <row r="145" spans="1:1" x14ac:dyDescent="0.3">
      <c r="A145" t="str">
        <v>High</v>
      </c>
    </row>
    <row r="146" spans="1:1" x14ac:dyDescent="0.3">
      <c r="A146">
        <v>2668</v>
      </c>
    </row>
    <row r="147" spans="1:1" x14ac:dyDescent="0.3">
      <c r="A147" t="str">
        <v>Philippines</v>
      </c>
    </row>
    <row r="148" spans="1:1" x14ac:dyDescent="0.3">
      <c r="A148" t="str">
        <v>Office Supplies</v>
      </c>
    </row>
    <row r="149" spans="1:1" x14ac:dyDescent="0.3">
      <c r="A149" t="str">
        <v>Storage</v>
      </c>
    </row>
    <row r="150" spans="1:1" x14ac:dyDescent="0.3">
      <c r="A150">
        <v>338</v>
      </c>
    </row>
    <row r="151" spans="1:1" x14ac:dyDescent="0.3">
      <c r="A151">
        <v>3</v>
      </c>
    </row>
    <row r="152" spans="1:1" x14ac:dyDescent="0.3">
      <c r="A152">
        <v>0.45</v>
      </c>
    </row>
    <row r="153" spans="1:1" x14ac:dyDescent="0.3">
      <c r="A153">
        <v>-122.8005</v>
      </c>
    </row>
    <row r="154" spans="1:1" x14ac:dyDescent="0.3">
      <c r="A154">
        <v>33.75</v>
      </c>
    </row>
    <row r="155" spans="1:1" x14ac:dyDescent="0.3">
      <c r="A155" t="str">
        <v>High</v>
      </c>
    </row>
    <row r="156" spans="1:1" x14ac:dyDescent="0.3">
      <c r="A156">
        <v>1014</v>
      </c>
    </row>
    <row r="157" spans="1:1" x14ac:dyDescent="0.3">
      <c r="A157" t="str">
        <v>United Kingdom</v>
      </c>
    </row>
    <row r="158" spans="1:1" x14ac:dyDescent="0.3">
      <c r="A158" t="str">
        <v>Furniture</v>
      </c>
    </row>
    <row r="159" spans="1:1" x14ac:dyDescent="0.3">
      <c r="A159" t="str">
        <v>Bookcases</v>
      </c>
    </row>
    <row r="160" spans="1:1" x14ac:dyDescent="0.3">
      <c r="A160">
        <v>854</v>
      </c>
    </row>
    <row r="161" spans="1:1" x14ac:dyDescent="0.3">
      <c r="A161">
        <v>7</v>
      </c>
    </row>
    <row r="162" spans="1:1" x14ac:dyDescent="0.3">
      <c r="A162">
        <v>0</v>
      </c>
    </row>
    <row r="163" spans="1:1" x14ac:dyDescent="0.3">
      <c r="A163">
        <v>290.43</v>
      </c>
    </row>
    <row r="164" spans="1:1" x14ac:dyDescent="0.3">
      <c r="A164">
        <v>12.56</v>
      </c>
    </row>
    <row r="165" spans="1:1" x14ac:dyDescent="0.3">
      <c r="A165" t="str">
        <v>Medium</v>
      </c>
    </row>
    <row r="166" spans="1:1" x14ac:dyDescent="0.3">
      <c r="A166">
        <v>5978</v>
      </c>
    </row>
    <row r="167" spans="1:1" x14ac:dyDescent="0.3">
      <c r="A167" t="str">
        <v>Guatemala</v>
      </c>
    </row>
    <row r="168" spans="1:1" x14ac:dyDescent="0.3">
      <c r="A168" t="str">
        <v>Technology</v>
      </c>
    </row>
    <row r="169" spans="1:1" x14ac:dyDescent="0.3">
      <c r="A169" t="str">
        <v>Phones</v>
      </c>
    </row>
    <row r="170" spans="1:1" x14ac:dyDescent="0.3">
      <c r="A170">
        <v>195</v>
      </c>
    </row>
    <row r="171" spans="1:1" x14ac:dyDescent="0.3">
      <c r="A171">
        <v>4</v>
      </c>
    </row>
    <row r="172" spans="1:1" x14ac:dyDescent="0.3">
      <c r="A172">
        <v>0</v>
      </c>
    </row>
    <row r="173" spans="1:1" x14ac:dyDescent="0.3">
      <c r="A173">
        <v>44.88</v>
      </c>
    </row>
    <row r="174" spans="1:1" x14ac:dyDescent="0.3">
      <c r="A174">
        <v>8.43</v>
      </c>
    </row>
    <row r="175" spans="1:1" x14ac:dyDescent="0.3">
      <c r="A175" t="str">
        <v>Medium</v>
      </c>
    </row>
    <row r="176" spans="1:1" x14ac:dyDescent="0.3">
      <c r="A176">
        <v>780</v>
      </c>
    </row>
    <row r="177" spans="1:1" x14ac:dyDescent="0.3">
      <c r="A177" t="str">
        <v>Iran</v>
      </c>
    </row>
    <row r="178" spans="1:1" x14ac:dyDescent="0.3">
      <c r="A178" t="str">
        <v>Office Supplies</v>
      </c>
    </row>
    <row r="179" spans="1:1" x14ac:dyDescent="0.3">
      <c r="A179" t="str">
        <v>Storage</v>
      </c>
    </row>
    <row r="180" spans="1:1" x14ac:dyDescent="0.3">
      <c r="A180">
        <v>62</v>
      </c>
    </row>
    <row r="181" spans="1:1" x14ac:dyDescent="0.3">
      <c r="A181">
        <v>2</v>
      </c>
    </row>
    <row r="182" spans="1:1" x14ac:dyDescent="0.3">
      <c r="A182">
        <v>0</v>
      </c>
    </row>
    <row r="183" spans="1:1" x14ac:dyDescent="0.3">
      <c r="A183">
        <v>8.6999999999999993</v>
      </c>
    </row>
    <row r="184" spans="1:1" x14ac:dyDescent="0.3">
      <c r="A184">
        <v>5.16</v>
      </c>
    </row>
    <row r="185" spans="1:1" x14ac:dyDescent="0.3">
      <c r="A185" t="str">
        <v>Medium</v>
      </c>
    </row>
    <row r="186" spans="1:1" x14ac:dyDescent="0.3">
      <c r="A186">
        <v>124</v>
      </c>
    </row>
    <row r="187" spans="1:1" x14ac:dyDescent="0.3">
      <c r="A187" t="str">
        <v>Tanzania</v>
      </c>
    </row>
    <row r="188" spans="1:1" x14ac:dyDescent="0.3">
      <c r="A188" t="str">
        <v>Office Supplies</v>
      </c>
    </row>
    <row r="189" spans="1:1" x14ac:dyDescent="0.3">
      <c r="A189" t="str">
        <v>Supplies</v>
      </c>
    </row>
    <row r="190" spans="1:1" x14ac:dyDescent="0.3">
      <c r="A190">
        <v>81</v>
      </c>
    </row>
    <row r="191" spans="1:1" x14ac:dyDescent="0.3">
      <c r="A191">
        <v>4</v>
      </c>
    </row>
    <row r="192" spans="1:1" x14ac:dyDescent="0.3">
      <c r="A192">
        <v>0</v>
      </c>
    </row>
    <row r="193" spans="1:1" x14ac:dyDescent="0.3">
      <c r="A193">
        <v>26.76</v>
      </c>
    </row>
    <row r="194" spans="1:1" x14ac:dyDescent="0.3">
      <c r="A194">
        <v>5.1100000000000003</v>
      </c>
    </row>
    <row r="195" spans="1:1" x14ac:dyDescent="0.3">
      <c r="A195" t="str">
        <v>Medium</v>
      </c>
    </row>
    <row r="196" spans="1:1" x14ac:dyDescent="0.3">
      <c r="A196">
        <v>324</v>
      </c>
    </row>
    <row r="197" spans="1:1" x14ac:dyDescent="0.3">
      <c r="A197" t="str">
        <v>Brazil</v>
      </c>
    </row>
    <row r="198" spans="1:1" x14ac:dyDescent="0.3">
      <c r="A198" t="str">
        <v>Furniture</v>
      </c>
    </row>
    <row r="199" spans="1:1" x14ac:dyDescent="0.3">
      <c r="A199" t="str">
        <v>Bookcases</v>
      </c>
    </row>
    <row r="200" spans="1:1" x14ac:dyDescent="0.3">
      <c r="A200">
        <v>1648</v>
      </c>
    </row>
    <row r="201" spans="1:1" x14ac:dyDescent="0.3">
      <c r="A201">
        <v>6</v>
      </c>
    </row>
    <row r="202" spans="1:1" x14ac:dyDescent="0.3">
      <c r="A202">
        <v>0</v>
      </c>
    </row>
    <row r="203" spans="1:1" x14ac:dyDescent="0.3">
      <c r="A203">
        <v>609.84</v>
      </c>
    </row>
    <row r="204" spans="1:1" x14ac:dyDescent="0.3">
      <c r="A204">
        <v>109.13</v>
      </c>
    </row>
    <row r="205" spans="1:1" x14ac:dyDescent="0.3">
      <c r="A205" t="str">
        <v>Medium</v>
      </c>
    </row>
    <row r="206" spans="1:1" x14ac:dyDescent="0.3">
      <c r="A206">
        <v>9888</v>
      </c>
    </row>
    <row r="207" spans="1:1" x14ac:dyDescent="0.3">
      <c r="A207" t="str">
        <v>Mexico</v>
      </c>
    </row>
    <row r="208" spans="1:1" x14ac:dyDescent="0.3">
      <c r="A208" t="str">
        <v>Technology</v>
      </c>
    </row>
    <row r="209" spans="1:1" x14ac:dyDescent="0.3">
      <c r="A209" t="str">
        <v>Accessories</v>
      </c>
    </row>
    <row r="210" spans="1:1" x14ac:dyDescent="0.3">
      <c r="A210">
        <v>223</v>
      </c>
    </row>
    <row r="211" spans="1:1" x14ac:dyDescent="0.3">
      <c r="A211">
        <v>4</v>
      </c>
    </row>
    <row r="212" spans="1:1" x14ac:dyDescent="0.3">
      <c r="A212">
        <v>0</v>
      </c>
    </row>
    <row r="213" spans="1:1" x14ac:dyDescent="0.3">
      <c r="A213">
        <v>13.28</v>
      </c>
    </row>
    <row r="214" spans="1:1" x14ac:dyDescent="0.3">
      <c r="A214">
        <v>42.28</v>
      </c>
    </row>
    <row r="215" spans="1:1" x14ac:dyDescent="0.3">
      <c r="A215" t="str">
        <v>High</v>
      </c>
    </row>
    <row r="216" spans="1:1" x14ac:dyDescent="0.3">
      <c r="A216">
        <v>892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amit makode</dc:creator>
  <cp:lastModifiedBy>amit makode</cp:lastModifiedBy>
  <dcterms:created xsi:type="dcterms:W3CDTF">2024-11-22T14:12:40Z</dcterms:created>
  <dcterms:modified xsi:type="dcterms:W3CDTF">2024-11-25T04:53:18Z</dcterms:modified>
</cp:coreProperties>
</file>